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s" sheetId="1" state="visible" r:id="rId1"/>
    <sheet xmlns:r="http://schemas.openxmlformats.org/officeDocument/2006/relationships" name="6981_T" sheetId="2" state="visible" r:id="rId2"/>
    <sheet xmlns:r="http://schemas.openxmlformats.org/officeDocument/2006/relationships" name="009150_KS" sheetId="3" state="visible" r:id="rId3"/>
    <sheet xmlns:r="http://schemas.openxmlformats.org/officeDocument/2006/relationships" name="6976_T" sheetId="4" state="visible" r:id="rId4"/>
    <sheet xmlns:r="http://schemas.openxmlformats.org/officeDocument/2006/relationships" name="6762_T" sheetId="5" state="visible" r:id="rId5"/>
    <sheet xmlns:r="http://schemas.openxmlformats.org/officeDocument/2006/relationships" name="2327_TW" sheetId="6" state="visible" r:id="rId6"/>
    <sheet xmlns:r="http://schemas.openxmlformats.org/officeDocument/2006/relationships" name="6971_T" sheetId="7" state="visible" r:id="rId7"/>
    <sheet xmlns:r="http://schemas.openxmlformats.org/officeDocument/2006/relationships" name="2492_TW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"/>
  </numFmts>
  <fonts count="5">
    <font>
      <name val="Calibri"/>
      <family val="2"/>
      <color theme="1"/>
      <sz val="11"/>
      <scheme val="minor"/>
    </font>
    <font>
      <b val="1"/>
      <color rgb="001F2D5A"/>
      <sz val="15"/>
    </font>
    <font>
      <b val="1"/>
      <color rgb="00FFFFFF"/>
    </font>
    <font>
      <b val="1"/>
      <color rgb="001F2D5A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2D5A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3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3" fontId="0" fillId="3" borderId="0" pivotButton="0" quotePrefix="0" xfId="0"/>
    <xf numFmtId="165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MLCC peers: comps on the house method (EV / cycle-mean EBITDA)</t>
        </is>
      </c>
    </row>
    <row r="2">
      <c r="A2" t="inlineStr">
        <is>
          <t>Local currency, mn. Peer history = 4 fiscal years (Yahoo fundamentals); band = Murata own p25/median/p75 as sector proxy. Yellow = input.</t>
        </is>
      </c>
    </row>
    <row r="4">
      <c r="A4" s="2" t="inlineStr">
        <is>
          <t>Ticker</t>
        </is>
      </c>
      <c r="B4" s="2" t="inlineStr">
        <is>
          <t>Name</t>
        </is>
      </c>
      <c r="C4" s="2" t="inlineStr">
        <is>
          <t>Price</t>
        </is>
      </c>
      <c r="D4" s="2" t="inlineStr">
        <is>
          <t>Shares (mn)</t>
        </is>
      </c>
      <c r="E4" s="2" t="inlineStr">
        <is>
          <t>Net cash</t>
        </is>
      </c>
      <c r="F4" s="2" t="inlineStr">
        <is>
          <t>EV</t>
        </is>
      </c>
      <c r="G4" s="2" t="inlineStr">
        <is>
          <t>Mean EBITDA</t>
        </is>
      </c>
      <c r="H4" s="2" t="inlineStr">
        <is>
          <t>EV / mean EBITDA</t>
        </is>
      </c>
      <c r="I4" s="2" t="inlineStr">
        <is>
          <t>Value @ p25</t>
        </is>
      </c>
      <c r="J4" s="2" t="inlineStr">
        <is>
          <t>Value @ median</t>
        </is>
      </c>
      <c r="K4" s="2" t="inlineStr">
        <is>
          <t>Value @ p75</t>
        </is>
      </c>
      <c r="L4" s="2" t="inlineStr">
        <is>
          <t>Price vs median value</t>
        </is>
      </c>
      <c r="M4" s="2" t="inlineStr">
        <is>
          <t>Fwd P/E</t>
        </is>
      </c>
      <c r="N4" s="2" t="inlineStr">
        <is>
          <t>Consensus TP</t>
        </is>
      </c>
      <c r="P4" t="inlineStr">
        <is>
          <t>Band</t>
        </is>
      </c>
    </row>
    <row r="5">
      <c r="A5" s="3" t="inlineStr">
        <is>
          <t>6981.T</t>
        </is>
      </c>
      <c r="B5" s="3" t="inlineStr">
        <is>
          <t>Murata</t>
        </is>
      </c>
      <c r="C5" s="3">
        <f>'6981_T'!B16</f>
        <v/>
      </c>
      <c r="D5" s="3">
        <f>'6981_T'!B17</f>
        <v/>
      </c>
      <c r="E5" s="3">
        <f>'6981_T'!B18</f>
        <v/>
      </c>
      <c r="F5" s="3">
        <f>'6981_T'!B19</f>
        <v/>
      </c>
      <c r="G5" s="3">
        <f>'6981_T'!B20</f>
        <v/>
      </c>
      <c r="H5" s="4">
        <f>'6981_T'!B21</f>
        <v/>
      </c>
      <c r="I5" s="3">
        <f>'6981_T'!B22</f>
        <v/>
      </c>
      <c r="J5" s="3">
        <f>'6981_T'!B23</f>
        <v/>
      </c>
      <c r="K5" s="3">
        <f>'6981_T'!B24</f>
        <v/>
      </c>
      <c r="L5" s="5">
        <f>C5/J5-1</f>
        <v/>
      </c>
      <c r="M5" s="4" t="n">
        <v>37.83</v>
      </c>
      <c r="N5" s="3" t="n">
        <v>10414</v>
      </c>
      <c r="P5" t="inlineStr">
        <is>
          <t>p25</t>
        </is>
      </c>
      <c r="Q5" s="6" t="n">
        <v>10.4</v>
      </c>
    </row>
    <row r="6">
      <c r="A6" s="3" t="inlineStr">
        <is>
          <t>009150.KS</t>
        </is>
      </c>
      <c r="B6" s="3" t="inlineStr">
        <is>
          <t>Samsung Electro-Mechanics</t>
        </is>
      </c>
      <c r="C6" s="3">
        <f>'009150_KS'!B16</f>
        <v/>
      </c>
      <c r="D6" s="3">
        <f>'009150_KS'!B17</f>
        <v/>
      </c>
      <c r="E6" s="3">
        <f>'009150_KS'!B18</f>
        <v/>
      </c>
      <c r="F6" s="3">
        <f>'009150_KS'!B19</f>
        <v/>
      </c>
      <c r="G6" s="3">
        <f>'009150_KS'!B20</f>
        <v/>
      </c>
      <c r="H6" s="4">
        <f>'009150_KS'!B21</f>
        <v/>
      </c>
      <c r="I6" s="3">
        <f>'009150_KS'!B22</f>
        <v/>
      </c>
      <c r="J6" s="3">
        <f>'009150_KS'!B23</f>
        <v/>
      </c>
      <c r="K6" s="3">
        <f>'009150_KS'!B24</f>
        <v/>
      </c>
      <c r="L6" s="5">
        <f>C6/J6-1</f>
        <v/>
      </c>
      <c r="M6" s="4" t="n">
        <v>47.61</v>
      </c>
      <c r="N6" s="3" t="n">
        <v>2408519</v>
      </c>
      <c r="P6" t="inlineStr">
        <is>
          <t>median</t>
        </is>
      </c>
      <c r="Q6" s="6" t="n">
        <v>11.6</v>
      </c>
    </row>
    <row r="7">
      <c r="A7" s="3" t="inlineStr">
        <is>
          <t>6976.T</t>
        </is>
      </c>
      <c r="B7" s="3" t="inlineStr">
        <is>
          <t>Taiyo Yuden</t>
        </is>
      </c>
      <c r="C7" s="3">
        <f>'6976_T'!B16</f>
        <v/>
      </c>
      <c r="D7" s="3">
        <f>'6976_T'!B17</f>
        <v/>
      </c>
      <c r="E7" s="3">
        <f>'6976_T'!B18</f>
        <v/>
      </c>
      <c r="F7" s="3">
        <f>'6976_T'!B19</f>
        <v/>
      </c>
      <c r="G7" s="3">
        <f>'6976_T'!B20</f>
        <v/>
      </c>
      <c r="H7" s="4">
        <f>'6976_T'!B21</f>
        <v/>
      </c>
      <c r="I7" s="3">
        <f>'6976_T'!B22</f>
        <v/>
      </c>
      <c r="J7" s="3">
        <f>'6976_T'!B23</f>
        <v/>
      </c>
      <c r="K7" s="3">
        <f>'6976_T'!B24</f>
        <v/>
      </c>
      <c r="L7" s="5">
        <f>C7/J7-1</f>
        <v/>
      </c>
      <c r="M7" s="4" t="n">
        <v>36.35</v>
      </c>
      <c r="N7" s="3" t="n">
        <v>14356</v>
      </c>
      <c r="P7" t="inlineStr">
        <is>
          <t>p75</t>
        </is>
      </c>
      <c r="Q7" s="6" t="n">
        <v>13.5</v>
      </c>
    </row>
    <row r="8">
      <c r="A8" s="3" t="inlineStr">
        <is>
          <t>6762.T</t>
        </is>
      </c>
      <c r="B8" s="3" t="inlineStr">
        <is>
          <t>TDK</t>
        </is>
      </c>
      <c r="C8" s="3">
        <f>'6762_T'!B16</f>
        <v/>
      </c>
      <c r="D8" s="3">
        <f>'6762_T'!B17</f>
        <v/>
      </c>
      <c r="E8" s="3">
        <f>'6762_T'!B18</f>
        <v/>
      </c>
      <c r="F8" s="3">
        <f>'6762_T'!B19</f>
        <v/>
      </c>
      <c r="G8" s="3">
        <f>'6762_T'!B20</f>
        <v/>
      </c>
      <c r="H8" s="4">
        <f>'6762_T'!B21</f>
        <v/>
      </c>
      <c r="I8" s="3">
        <f>'6762_T'!B22</f>
        <v/>
      </c>
      <c r="J8" s="3">
        <f>'6762_T'!B23</f>
        <v/>
      </c>
      <c r="K8" s="3">
        <f>'6762_T'!B24</f>
        <v/>
      </c>
      <c r="L8" s="5">
        <f>C8/J8-1</f>
        <v/>
      </c>
      <c r="M8" s="4" t="n">
        <v>22.76</v>
      </c>
      <c r="N8" s="3" t="n">
        <v>4158</v>
      </c>
    </row>
    <row r="9">
      <c r="A9" s="3" t="inlineStr">
        <is>
          <t>2327.TW</t>
        </is>
      </c>
      <c r="B9" s="3" t="inlineStr">
        <is>
          <t>Yageo</t>
        </is>
      </c>
      <c r="C9" s="3">
        <f>'2327_TW'!B16</f>
        <v/>
      </c>
      <c r="D9" s="3">
        <f>'2327_TW'!B17</f>
        <v/>
      </c>
      <c r="E9" s="3">
        <f>'2327_TW'!B18</f>
        <v/>
      </c>
      <c r="F9" s="3">
        <f>'2327_TW'!B19</f>
        <v/>
      </c>
      <c r="G9" s="3">
        <f>'2327_TW'!B20</f>
        <v/>
      </c>
      <c r="H9" s="4">
        <f>'2327_TW'!B21</f>
        <v/>
      </c>
      <c r="I9" s="3">
        <f>'2327_TW'!B22</f>
        <v/>
      </c>
      <c r="J9" s="3">
        <f>'2327_TW'!B23</f>
        <v/>
      </c>
      <c r="K9" s="3">
        <f>'2327_TW'!B24</f>
        <v/>
      </c>
      <c r="L9" s="5">
        <f>C9/J9-1</f>
        <v/>
      </c>
      <c r="M9" s="4" t="n">
        <v>24.43</v>
      </c>
      <c r="N9" s="3" t="n">
        <v>1009</v>
      </c>
    </row>
    <row r="10">
      <c r="A10" s="3" t="inlineStr">
        <is>
          <t>6971.T</t>
        </is>
      </c>
      <c r="B10" s="3" t="inlineStr">
        <is>
          <t>Kyocera</t>
        </is>
      </c>
      <c r="C10" s="3">
        <f>'6971_T'!B16</f>
        <v/>
      </c>
      <c r="D10" s="3">
        <f>'6971_T'!B17</f>
        <v/>
      </c>
      <c r="E10" s="3">
        <f>'6971_T'!B18</f>
        <v/>
      </c>
      <c r="F10" s="3">
        <f>'6971_T'!B19</f>
        <v/>
      </c>
      <c r="G10" s="3">
        <f>'6971_T'!B20</f>
        <v/>
      </c>
      <c r="H10" s="4">
        <f>'6971_T'!B21</f>
        <v/>
      </c>
      <c r="I10" s="3">
        <f>'6971_T'!B22</f>
        <v/>
      </c>
      <c r="J10" s="3">
        <f>'6971_T'!B23</f>
        <v/>
      </c>
      <c r="K10" s="3">
        <f>'6971_T'!B24</f>
        <v/>
      </c>
      <c r="L10" s="5">
        <f>C10/J10-1</f>
        <v/>
      </c>
      <c r="M10" s="4" t="n">
        <v>28.89</v>
      </c>
      <c r="N10" s="3" t="n">
        <v>3585</v>
      </c>
    </row>
    <row r="11">
      <c r="A11" s="3" t="inlineStr">
        <is>
          <t>2492.TW</t>
        </is>
      </c>
      <c r="B11" s="3" t="inlineStr">
        <is>
          <t>Walsin Technology</t>
        </is>
      </c>
      <c r="C11" s="3">
        <f>'2492_TW'!B16</f>
        <v/>
      </c>
      <c r="D11" s="3">
        <f>'2492_TW'!B17</f>
        <v/>
      </c>
      <c r="E11" s="3">
        <f>'2492_TW'!B18</f>
        <v/>
      </c>
      <c r="F11" s="3">
        <f>'2492_TW'!B19</f>
        <v/>
      </c>
      <c r="G11" s="3">
        <f>'2492_TW'!B20</f>
        <v/>
      </c>
      <c r="H11" s="4">
        <f>'2492_TW'!B21</f>
        <v/>
      </c>
      <c r="I11" s="3">
        <f>'2492_TW'!B22</f>
        <v/>
      </c>
      <c r="J11" s="3">
        <f>'2492_TW'!B23</f>
        <v/>
      </c>
      <c r="K11" s="3">
        <f>'2492_TW'!B24</f>
        <v/>
      </c>
      <c r="L11" s="5">
        <f>C11/J11-1</f>
        <v/>
      </c>
      <c r="M11" s="4" t="n">
        <v>21.73</v>
      </c>
      <c r="N11" s="3" t="n"/>
    </row>
    <row r="13">
      <c r="A13" t="inlineStr">
        <is>
          <t>Note: Murata own-band value differs from its tab here because the house model uses 5 FYs from fact books and forecasts to FY3/30.</t>
        </is>
      </c>
    </row>
  </sheetData>
  <conditionalFormatting sqref="H5:H11">
    <cfRule type="colorScale" priority="1">
      <colorScale>
        <cfvo type="min"/>
        <cfvo type="percentile" val="50"/>
        <cfvo type="max"/>
        <color rgb="00E0F2E7"/>
        <color rgb="00FFFFFF"/>
        <color rgb="00F8E3E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7" t="inlineStr">
        <is>
          <t>Murata (6981.T)</t>
        </is>
      </c>
    </row>
    <row r="2">
      <c r="A2" t="inlineStr">
        <is>
          <t>History from Yahoo fundamentals (see data/clean/financials.csv); price/consensus stockanalysis.com 2-Oct-2026.</t>
        </is>
      </c>
    </row>
    <row r="4">
      <c r="A4" s="8" t="inlineStr">
        <is>
          <t>Metric</t>
        </is>
      </c>
      <c r="B4" s="8" t="inlineStr">
        <is>
          <t>FY2022</t>
        </is>
      </c>
      <c r="C4" s="8" t="inlineStr">
        <is>
          <t>FY2023</t>
        </is>
      </c>
      <c r="D4" s="8" t="inlineStr">
        <is>
          <t>FY2024</t>
        </is>
      </c>
      <c r="E4" s="8" t="inlineStr">
        <is>
          <t>FY2025</t>
        </is>
      </c>
    </row>
    <row r="5">
      <c r="A5" t="inlineStr">
        <is>
          <t>revenue</t>
        </is>
      </c>
      <c r="B5" s="3" t="n">
        <v>1686796</v>
      </c>
      <c r="C5" s="3" t="n">
        <v>1640158</v>
      </c>
      <c r="D5" s="3" t="n">
        <v>1743352</v>
      </c>
      <c r="E5" s="3" t="n">
        <v>1830856</v>
      </c>
    </row>
    <row r="6">
      <c r="A6" t="inlineStr">
        <is>
          <t>operating income</t>
        </is>
      </c>
      <c r="B6" s="3" t="n">
        <v>292856</v>
      </c>
      <c r="C6" s="3" t="n">
        <v>215447</v>
      </c>
      <c r="D6" s="3" t="n">
        <v>279702</v>
      </c>
      <c r="E6" s="3" t="n">
        <v>281835</v>
      </c>
    </row>
    <row r="7">
      <c r="A7" t="inlineStr">
        <is>
          <t>ebitda</t>
        </is>
      </c>
      <c r="B7" s="3" t="n">
        <v>473471</v>
      </c>
      <c r="C7" s="3" t="n">
        <v>419743</v>
      </c>
      <c r="D7" s="3" t="n">
        <v>482514</v>
      </c>
      <c r="E7" s="3" t="n">
        <v>490044</v>
      </c>
    </row>
    <row r="8">
      <c r="A8" t="inlineStr">
        <is>
          <t>net income</t>
        </is>
      </c>
      <c r="B8" s="3" t="n">
        <v>243946</v>
      </c>
      <c r="C8" s="3" t="n">
        <v>180838</v>
      </c>
      <c r="D8" s="3" t="n">
        <v>233818</v>
      </c>
      <c r="E8" s="3" t="n">
        <v>233920</v>
      </c>
    </row>
    <row r="9">
      <c r="A9" t="inlineStr">
        <is>
          <t>free cash flow</t>
        </is>
      </c>
      <c r="B9" s="3" t="n">
        <v>80076</v>
      </c>
      <c r="C9" s="3" t="n">
        <v>253409</v>
      </c>
      <c r="D9" s="3" t="n">
        <v>259063</v>
      </c>
      <c r="E9" s="3" t="n">
        <v>173002</v>
      </c>
    </row>
    <row r="10">
      <c r="A10" t="inlineStr">
        <is>
          <t>capex</t>
        </is>
      </c>
      <c r="B10" s="3" t="n">
        <v>-197565</v>
      </c>
      <c r="C10" s="3" t="n">
        <v>-236228</v>
      </c>
      <c r="D10" s="3" t="n">
        <v>-192842</v>
      </c>
      <c r="E10" s="3" t="n">
        <v>-252220</v>
      </c>
    </row>
    <row r="11">
      <c r="A11" t="inlineStr">
        <is>
          <t>cash</t>
        </is>
      </c>
      <c r="B11" s="3" t="n">
        <v>512420</v>
      </c>
      <c r="C11" s="3" t="n">
        <v>641539</v>
      </c>
      <c r="D11" s="3" t="n">
        <v>675833</v>
      </c>
      <c r="E11" s="3" t="n">
        <v>677886</v>
      </c>
    </row>
    <row r="12">
      <c r="A12" t="inlineStr">
        <is>
          <t>total debt</t>
        </is>
      </c>
      <c r="B12" s="3" t="n">
        <v>155227</v>
      </c>
      <c r="C12" s="3" t="n">
        <v>105940</v>
      </c>
      <c r="D12" s="3" t="n">
        <v>59993</v>
      </c>
      <c r="E12" s="3" t="n">
        <v>55768</v>
      </c>
    </row>
    <row r="13">
      <c r="A13" t="inlineStr">
        <is>
          <t>Operating margin</t>
        </is>
      </c>
      <c r="B13" s="9">
        <f>B6/B5</f>
        <v/>
      </c>
      <c r="C13" s="9">
        <f>C6/C5</f>
        <v/>
      </c>
      <c r="D13" s="9">
        <f>D6/D5</f>
        <v/>
      </c>
      <c r="E13" s="9">
        <f>E6/E5</f>
        <v/>
      </c>
    </row>
    <row r="16">
      <c r="A16" s="10" t="inlineStr">
        <is>
          <t>Price</t>
        </is>
      </c>
      <c r="B16" s="11" t="n">
        <v>8467</v>
      </c>
    </row>
    <row r="17">
      <c r="A17" s="10" t="inlineStr">
        <is>
          <t>Shares (mn) = mcap / price</t>
        </is>
      </c>
      <c r="B17" s="12" t="n">
        <v>1820.007</v>
      </c>
    </row>
    <row r="18">
      <c r="A18" s="10" t="inlineStr">
        <is>
          <t>Net cash (vendor)</t>
        </is>
      </c>
      <c r="B18" s="11" t="n">
        <v>502100</v>
      </c>
    </row>
    <row r="19">
      <c r="A19" s="10" t="inlineStr">
        <is>
          <t>EV</t>
        </is>
      </c>
      <c r="B19" s="3">
        <f>B16*B17-B18</f>
        <v/>
      </c>
    </row>
    <row r="20">
      <c r="A20" s="10" t="inlineStr">
        <is>
          <t>Mean EBITDA</t>
        </is>
      </c>
      <c r="B20" s="3">
        <f>AVERAGE(B7:E7)</f>
        <v/>
      </c>
    </row>
    <row r="21">
      <c r="A21" s="10" t="inlineStr">
        <is>
          <t>EV / mean EBITDA</t>
        </is>
      </c>
      <c r="B21" s="4">
        <f>B19/B20</f>
        <v/>
      </c>
    </row>
    <row r="22">
      <c r="A22" s="10" t="inlineStr">
        <is>
          <t>Value/share @ band p25</t>
        </is>
      </c>
      <c r="B22" s="3">
        <f>(Comps!$Q$5*B20+B18)/B17</f>
        <v/>
      </c>
    </row>
    <row r="23">
      <c r="A23" s="10" t="inlineStr">
        <is>
          <t>Value/share @ median</t>
        </is>
      </c>
      <c r="B23" s="3">
        <f>(Comps!$Q$6*B20+B18)/B17</f>
        <v/>
      </c>
    </row>
    <row r="24">
      <c r="A24" s="10" t="inlineStr">
        <is>
          <t>Value/share @ p75</t>
        </is>
      </c>
      <c r="B24" s="3">
        <f>(Comps!$Q$7*B20+B18)/B17</f>
        <v/>
      </c>
    </row>
    <row r="25">
      <c r="A25" s="10" t="inlineStr">
        <is>
          <t>Multiple implied by price</t>
        </is>
      </c>
      <c r="B25" s="3">
        <f>B21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7" t="inlineStr">
        <is>
          <t>Samsung Electro-Mechanics (009150.KS)</t>
        </is>
      </c>
    </row>
    <row r="2">
      <c r="A2" t="inlineStr">
        <is>
          <t>History from Yahoo fundamentals (see data/clean/financials.csv); price/consensus stockanalysis.com 2-Oct-2026.</t>
        </is>
      </c>
    </row>
    <row r="4">
      <c r="A4" s="8" t="inlineStr">
        <is>
          <t>Metric</t>
        </is>
      </c>
      <c r="B4" s="8" t="inlineStr">
        <is>
          <t>FY2022</t>
        </is>
      </c>
      <c r="C4" s="8" t="inlineStr">
        <is>
          <t>FY2023</t>
        </is>
      </c>
      <c r="D4" s="8" t="inlineStr">
        <is>
          <t>FY2024</t>
        </is>
      </c>
      <c r="E4" s="8" t="inlineStr">
        <is>
          <t>FY2025</t>
        </is>
      </c>
    </row>
    <row r="5">
      <c r="A5" t="inlineStr">
        <is>
          <t>revenue</t>
        </is>
      </c>
      <c r="B5" s="3" t="n">
        <v>9424551.868000001</v>
      </c>
      <c r="C5" s="3" t="n">
        <v>8892411.9428</v>
      </c>
      <c r="D5" s="3" t="n">
        <v>10294102.9764</v>
      </c>
      <c r="E5" s="3" t="n">
        <v>11314459.2381</v>
      </c>
    </row>
    <row r="6">
      <c r="A6" t="inlineStr">
        <is>
          <t>operating income</t>
        </is>
      </c>
      <c r="B6" s="3" t="n">
        <v>1183096.8163</v>
      </c>
      <c r="C6" s="3" t="n">
        <v>660919.2129</v>
      </c>
      <c r="D6" s="3" t="n">
        <v>735135.857</v>
      </c>
      <c r="E6" s="3" t="n">
        <v>913331.1782</v>
      </c>
    </row>
    <row r="7">
      <c r="A7" t="inlineStr">
        <is>
          <t>ebitda</t>
        </is>
      </c>
      <c r="B7" s="3" t="n">
        <v>2111933.4067</v>
      </c>
      <c r="C7" s="3" t="n">
        <v>1467592.0417</v>
      </c>
      <c r="D7" s="3" t="n">
        <v>1710219.625</v>
      </c>
      <c r="E7" s="3" t="n">
        <v>1896928.5258</v>
      </c>
    </row>
    <row r="8">
      <c r="A8" t="inlineStr">
        <is>
          <t>net income</t>
        </is>
      </c>
      <c r="B8" s="3" t="n">
        <v>980551.6421000001</v>
      </c>
      <c r="C8" s="3" t="n">
        <v>422956.7066</v>
      </c>
      <c r="D8" s="3" t="n">
        <v>679130.0696</v>
      </c>
      <c r="E8" s="3" t="n">
        <v>706113.1654000001</v>
      </c>
    </row>
    <row r="9">
      <c r="A9" t="inlineStr">
        <is>
          <t>free cash flow</t>
        </is>
      </c>
      <c r="B9" s="3" t="n">
        <v>230255.73</v>
      </c>
      <c r="C9" s="3" t="n">
        <v>-76491.93520000001</v>
      </c>
      <c r="D9" s="3" t="n">
        <v>603177.8473</v>
      </c>
      <c r="E9" s="3" t="n">
        <v>243767.3386</v>
      </c>
    </row>
    <row r="10">
      <c r="A10" t="inlineStr">
        <is>
          <t>capex</t>
        </is>
      </c>
      <c r="B10" s="3" t="n">
        <v>-1345100.0967</v>
      </c>
      <c r="C10" s="3" t="n">
        <v>-1256852.0507</v>
      </c>
      <c r="D10" s="3" t="n">
        <v>-826641.1594</v>
      </c>
      <c r="E10" s="3" t="n">
        <v>-1246323.5444</v>
      </c>
    </row>
    <row r="11">
      <c r="A11" t="inlineStr">
        <is>
          <t>cash</t>
        </is>
      </c>
      <c r="B11" s="3" t="n">
        <v>1736672.3529</v>
      </c>
      <c r="C11" s="3" t="n">
        <v>1728268.9335</v>
      </c>
      <c r="D11" s="3" t="n">
        <v>2027633.8036</v>
      </c>
      <c r="E11" s="3" t="n">
        <v>2721160.7046</v>
      </c>
    </row>
    <row r="12">
      <c r="A12" t="inlineStr">
        <is>
          <t>total debt</t>
        </is>
      </c>
      <c r="B12" s="3" t="n">
        <v>1505236.5513</v>
      </c>
      <c r="C12" s="3" t="n">
        <v>1596513.0998</v>
      </c>
      <c r="D12" s="3" t="n">
        <v>1636007.4661</v>
      </c>
      <c r="E12" s="3" t="n">
        <v>2277190.8793</v>
      </c>
    </row>
    <row r="13">
      <c r="A13" t="inlineStr">
        <is>
          <t>Operating margin</t>
        </is>
      </c>
      <c r="B13" s="9">
        <f>B6/B5</f>
        <v/>
      </c>
      <c r="C13" s="9">
        <f>C6/C5</f>
        <v/>
      </c>
      <c r="D13" s="9">
        <f>D6/D5</f>
        <v/>
      </c>
      <c r="E13" s="9">
        <f>E6/E5</f>
        <v/>
      </c>
    </row>
    <row r="16">
      <c r="A16" s="10" t="inlineStr">
        <is>
          <t>Price</t>
        </is>
      </c>
      <c r="B16" s="11" t="n">
        <v>1581000</v>
      </c>
    </row>
    <row r="17">
      <c r="A17" s="10" t="inlineStr">
        <is>
          <t>Shares (mn) = mcap / price</t>
        </is>
      </c>
      <c r="B17" s="12" t="n">
        <v>73.643</v>
      </c>
    </row>
    <row r="18">
      <c r="A18" s="10" t="inlineStr">
        <is>
          <t>Net cash (vendor)</t>
        </is>
      </c>
      <c r="B18" s="11" t="n">
        <v>240560</v>
      </c>
    </row>
    <row r="19">
      <c r="A19" s="10" t="inlineStr">
        <is>
          <t>EV</t>
        </is>
      </c>
      <c r="B19" s="3">
        <f>B16*B17-B18</f>
        <v/>
      </c>
    </row>
    <row r="20">
      <c r="A20" s="10" t="inlineStr">
        <is>
          <t>Mean EBITDA</t>
        </is>
      </c>
      <c r="B20" s="3">
        <f>AVERAGE(B7:E7)</f>
        <v/>
      </c>
    </row>
    <row r="21">
      <c r="A21" s="10" t="inlineStr">
        <is>
          <t>EV / mean EBITDA</t>
        </is>
      </c>
      <c r="B21" s="4">
        <f>B19/B20</f>
        <v/>
      </c>
    </row>
    <row r="22">
      <c r="A22" s="10" t="inlineStr">
        <is>
          <t>Value/share @ band p25</t>
        </is>
      </c>
      <c r="B22" s="3">
        <f>(Comps!$Q$5*B20+B18)/B17</f>
        <v/>
      </c>
    </row>
    <row r="23">
      <c r="A23" s="10" t="inlineStr">
        <is>
          <t>Value/share @ median</t>
        </is>
      </c>
      <c r="B23" s="3">
        <f>(Comps!$Q$6*B20+B18)/B17</f>
        <v/>
      </c>
    </row>
    <row r="24">
      <c r="A24" s="10" t="inlineStr">
        <is>
          <t>Value/share @ p75</t>
        </is>
      </c>
      <c r="B24" s="3">
        <f>(Comps!$Q$7*B20+B18)/B17</f>
        <v/>
      </c>
    </row>
    <row r="25">
      <c r="A25" s="10" t="inlineStr">
        <is>
          <t>Multiple implied by price</t>
        </is>
      </c>
      <c r="B25" s="3">
        <f>B21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7" t="inlineStr">
        <is>
          <t>Taiyo Yuden (6976.T)</t>
        </is>
      </c>
    </row>
    <row r="2">
      <c r="A2" t="inlineStr">
        <is>
          <t>History from Yahoo fundamentals (see data/clean/financials.csv); price/consensus stockanalysis.com 2-Oct-2026.</t>
        </is>
      </c>
    </row>
    <row r="4">
      <c r="A4" s="8" t="inlineStr">
        <is>
          <t>Metric</t>
        </is>
      </c>
      <c r="B4" s="8" t="inlineStr">
        <is>
          <t>FY2022</t>
        </is>
      </c>
      <c r="C4" s="8" t="inlineStr">
        <is>
          <t>FY2023</t>
        </is>
      </c>
      <c r="D4" s="8" t="inlineStr">
        <is>
          <t>FY2024</t>
        </is>
      </c>
      <c r="E4" s="8" t="inlineStr">
        <is>
          <t>FY2025</t>
        </is>
      </c>
    </row>
    <row r="5">
      <c r="A5" t="inlineStr">
        <is>
          <t>revenue</t>
        </is>
      </c>
      <c r="B5" s="3" t="n">
        <v>319504</v>
      </c>
      <c r="C5" s="3" t="n">
        <v>322647</v>
      </c>
      <c r="D5" s="3" t="n">
        <v>341438</v>
      </c>
      <c r="E5" s="3" t="n">
        <v>355341</v>
      </c>
    </row>
    <row r="6">
      <c r="A6" t="inlineStr">
        <is>
          <t>operating income</t>
        </is>
      </c>
      <c r="B6" s="3" t="n">
        <v>31981</v>
      </c>
      <c r="C6" s="3" t="n">
        <v>9080</v>
      </c>
      <c r="D6" s="3" t="n">
        <v>10460</v>
      </c>
      <c r="E6" s="3" t="n">
        <v>19996</v>
      </c>
    </row>
    <row r="7">
      <c r="A7" t="inlineStr">
        <is>
          <t>ebitda</t>
        </is>
      </c>
      <c r="B7" s="3" t="n">
        <v>66468</v>
      </c>
      <c r="C7" s="3" t="n">
        <v>53162</v>
      </c>
      <c r="D7" s="3" t="n">
        <v>55514</v>
      </c>
      <c r="E7" s="3" t="n">
        <v>71073</v>
      </c>
    </row>
    <row r="8">
      <c r="A8" t="inlineStr">
        <is>
          <t>net income</t>
        </is>
      </c>
      <c r="B8" s="3" t="n">
        <v>23216</v>
      </c>
      <c r="C8" s="3" t="n">
        <v>8317</v>
      </c>
      <c r="D8" s="3" t="n">
        <v>2328</v>
      </c>
      <c r="E8" s="3" t="n">
        <v>14806</v>
      </c>
    </row>
    <row r="9">
      <c r="A9" t="inlineStr">
        <is>
          <t>free cash flow</t>
        </is>
      </c>
      <c r="B9" s="3" t="n">
        <v>39460</v>
      </c>
      <c r="C9" s="3" t="n">
        <v>51104</v>
      </c>
      <c r="D9" s="3" t="n">
        <v>33941</v>
      </c>
      <c r="E9" s="3" t="n">
        <v>58117</v>
      </c>
    </row>
    <row r="10">
      <c r="A10" t="inlineStr">
        <is>
          <t>capex</t>
        </is>
      </c>
      <c r="B10" s="3" t="n"/>
      <c r="C10" s="3" t="n"/>
      <c r="D10" s="3" t="n"/>
      <c r="E10" s="3" t="n"/>
    </row>
    <row r="11">
      <c r="A11" t="inlineStr">
        <is>
          <t>cash</t>
        </is>
      </c>
      <c r="B11" s="3" t="n">
        <v>87197</v>
      </c>
      <c r="C11" s="3" t="n">
        <v>102783</v>
      </c>
      <c r="D11" s="3" t="n">
        <v>78166</v>
      </c>
      <c r="E11" s="3" t="n">
        <v>100072</v>
      </c>
    </row>
    <row r="12">
      <c r="A12" t="inlineStr">
        <is>
          <t>total debt</t>
        </is>
      </c>
      <c r="B12" s="3" t="n">
        <v>98935</v>
      </c>
      <c r="C12" s="3" t="n">
        <v>148844</v>
      </c>
      <c r="D12" s="3" t="n">
        <v>164400</v>
      </c>
      <c r="E12" s="3" t="n">
        <v>171212</v>
      </c>
    </row>
    <row r="13">
      <c r="A13" t="inlineStr">
        <is>
          <t>Operating margin</t>
        </is>
      </c>
      <c r="B13" s="9">
        <f>B6/B5</f>
        <v/>
      </c>
      <c r="C13" s="9">
        <f>C6/C5</f>
        <v/>
      </c>
      <c r="D13" s="9">
        <f>D6/D5</f>
        <v/>
      </c>
      <c r="E13" s="9">
        <f>E6/E5</f>
        <v/>
      </c>
    </row>
    <row r="16">
      <c r="A16" s="10" t="inlineStr">
        <is>
          <t>Price</t>
        </is>
      </c>
      <c r="B16" s="11" t="n">
        <v>10095</v>
      </c>
    </row>
    <row r="17">
      <c r="A17" s="10" t="inlineStr">
        <is>
          <t>Shares (mn) = mcap / price</t>
        </is>
      </c>
      <c r="B17" s="12" t="n">
        <v>129.767</v>
      </c>
    </row>
    <row r="18">
      <c r="A18" s="10" t="inlineStr">
        <is>
          <t>Net cash (vendor)</t>
        </is>
      </c>
      <c r="B18" s="11" t="n">
        <v>-49770</v>
      </c>
    </row>
    <row r="19">
      <c r="A19" s="10" t="inlineStr">
        <is>
          <t>EV</t>
        </is>
      </c>
      <c r="B19" s="3">
        <f>B16*B17-B18</f>
        <v/>
      </c>
    </row>
    <row r="20">
      <c r="A20" s="10" t="inlineStr">
        <is>
          <t>Mean EBITDA</t>
        </is>
      </c>
      <c r="B20" s="3">
        <f>AVERAGE(B7:E7)</f>
        <v/>
      </c>
    </row>
    <row r="21">
      <c r="A21" s="10" t="inlineStr">
        <is>
          <t>EV / mean EBITDA</t>
        </is>
      </c>
      <c r="B21" s="4">
        <f>B19/B20</f>
        <v/>
      </c>
    </row>
    <row r="22">
      <c r="A22" s="10" t="inlineStr">
        <is>
          <t>Value/share @ band p25</t>
        </is>
      </c>
      <c r="B22" s="3">
        <f>(Comps!$Q$5*B20+B18)/B17</f>
        <v/>
      </c>
    </row>
    <row r="23">
      <c r="A23" s="10" t="inlineStr">
        <is>
          <t>Value/share @ median</t>
        </is>
      </c>
      <c r="B23" s="3">
        <f>(Comps!$Q$6*B20+B18)/B17</f>
        <v/>
      </c>
    </row>
    <row r="24">
      <c r="A24" s="10" t="inlineStr">
        <is>
          <t>Value/share @ p75</t>
        </is>
      </c>
      <c r="B24" s="3">
        <f>(Comps!$Q$7*B20+B18)/B17</f>
        <v/>
      </c>
    </row>
    <row r="25">
      <c r="A25" s="10" t="inlineStr">
        <is>
          <t>Multiple implied by price</t>
        </is>
      </c>
      <c r="B25" s="3">
        <f>B21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7" t="inlineStr">
        <is>
          <t>TDK (6762.T)</t>
        </is>
      </c>
    </row>
    <row r="2">
      <c r="A2" t="inlineStr">
        <is>
          <t>History from Yahoo fundamentals (see data/clean/financials.csv); price/consensus stockanalysis.com 2-Oct-2026.</t>
        </is>
      </c>
    </row>
    <row r="4">
      <c r="A4" s="8" t="inlineStr">
        <is>
          <t>Metric</t>
        </is>
      </c>
      <c r="B4" s="8" t="inlineStr">
        <is>
          <t>FY2022</t>
        </is>
      </c>
      <c r="C4" s="8" t="inlineStr">
        <is>
          <t>FY2023</t>
        </is>
      </c>
      <c r="D4" s="8" t="inlineStr">
        <is>
          <t>FY2024</t>
        </is>
      </c>
      <c r="E4" s="8" t="inlineStr">
        <is>
          <t>FY2025</t>
        </is>
      </c>
    </row>
    <row r="5">
      <c r="A5" t="inlineStr">
        <is>
          <t>revenue</t>
        </is>
      </c>
      <c r="B5" s="3" t="n">
        <v>2180817</v>
      </c>
      <c r="C5" s="3" t="n">
        <v>2103876</v>
      </c>
      <c r="D5" s="3" t="n">
        <v>2204806</v>
      </c>
      <c r="E5" s="3" t="n">
        <v>2504820</v>
      </c>
    </row>
    <row r="6">
      <c r="A6" t="inlineStr">
        <is>
          <t>operating income</t>
        </is>
      </c>
      <c r="B6" s="3" t="n">
        <v>168827</v>
      </c>
      <c r="C6" s="3" t="n">
        <v>172893</v>
      </c>
      <c r="D6" s="3" t="n">
        <v>224192</v>
      </c>
      <c r="E6" s="3" t="n">
        <v>272414</v>
      </c>
    </row>
    <row r="7">
      <c r="A7" t="inlineStr">
        <is>
          <t>ebitda</t>
        </is>
      </c>
      <c r="B7" s="3" t="n">
        <v>394276</v>
      </c>
      <c r="C7" s="3" t="n">
        <v>400011</v>
      </c>
      <c r="D7" s="3" t="n">
        <v>447401</v>
      </c>
      <c r="E7" s="3" t="n">
        <v>513712</v>
      </c>
    </row>
    <row r="8">
      <c r="A8" t="inlineStr">
        <is>
          <t>net income</t>
        </is>
      </c>
      <c r="B8" s="3" t="n">
        <v>114187</v>
      </c>
      <c r="C8" s="3" t="n">
        <v>124687</v>
      </c>
      <c r="D8" s="3" t="n">
        <v>167161</v>
      </c>
      <c r="E8" s="3" t="n">
        <v>195663</v>
      </c>
    </row>
    <row r="9">
      <c r="A9" t="inlineStr">
        <is>
          <t>free cash flow</t>
        </is>
      </c>
      <c r="B9" s="3" t="n">
        <v>-12937</v>
      </c>
      <c r="C9" s="3" t="n">
        <v>228418</v>
      </c>
      <c r="D9" s="3" t="n">
        <v>220549</v>
      </c>
      <c r="E9" s="3" t="n">
        <v>209081</v>
      </c>
    </row>
    <row r="10">
      <c r="A10" t="inlineStr">
        <is>
          <t>capex</t>
        </is>
      </c>
      <c r="B10" s="3" t="n">
        <v>-275709</v>
      </c>
      <c r="C10" s="3" t="n">
        <v>-218589</v>
      </c>
      <c r="D10" s="3" t="n">
        <v>-225290</v>
      </c>
      <c r="E10" s="3" t="n">
        <v>-298591</v>
      </c>
    </row>
    <row r="11">
      <c r="A11" t="inlineStr">
        <is>
          <t>cash</t>
        </is>
      </c>
      <c r="B11" s="3" t="n">
        <v>558332</v>
      </c>
      <c r="C11" s="3" t="n">
        <v>697050</v>
      </c>
      <c r="D11" s="3" t="n">
        <v>774611</v>
      </c>
      <c r="E11" s="3" t="n">
        <v>1002362</v>
      </c>
    </row>
    <row r="12">
      <c r="A12" t="inlineStr">
        <is>
          <t>total debt</t>
        </is>
      </c>
      <c r="B12" s="3" t="n">
        <v>752158</v>
      </c>
      <c r="C12" s="3" t="n">
        <v>685736</v>
      </c>
      <c r="D12" s="3" t="n">
        <v>608400</v>
      </c>
      <c r="E12" s="3" t="n">
        <v>615970</v>
      </c>
    </row>
    <row r="13">
      <c r="A13" t="inlineStr">
        <is>
          <t>Operating margin</t>
        </is>
      </c>
      <c r="B13" s="9">
        <f>B6/B5</f>
        <v/>
      </c>
      <c r="C13" s="9">
        <f>C6/C5</f>
        <v/>
      </c>
      <c r="D13" s="9">
        <f>D6/D5</f>
        <v/>
      </c>
      <c r="E13" s="9">
        <f>E6/E5</f>
        <v/>
      </c>
    </row>
    <row r="16">
      <c r="A16" s="10" t="inlineStr">
        <is>
          <t>Price</t>
        </is>
      </c>
      <c r="B16" s="11" t="n">
        <v>3198</v>
      </c>
    </row>
    <row r="17">
      <c r="A17" s="10" t="inlineStr">
        <is>
          <t>Shares (mn) = mcap / price</t>
        </is>
      </c>
      <c r="B17" s="12" t="n">
        <v>1898.061</v>
      </c>
    </row>
    <row r="18">
      <c r="A18" s="10" t="inlineStr">
        <is>
          <t>Net cash (vendor)</t>
        </is>
      </c>
      <c r="B18" s="11" t="n">
        <v>105800</v>
      </c>
    </row>
    <row r="19">
      <c r="A19" s="10" t="inlineStr">
        <is>
          <t>EV</t>
        </is>
      </c>
      <c r="B19" s="3">
        <f>B16*B17-B18</f>
        <v/>
      </c>
    </row>
    <row r="20">
      <c r="A20" s="10" t="inlineStr">
        <is>
          <t>Mean EBITDA</t>
        </is>
      </c>
      <c r="B20" s="3">
        <f>AVERAGE(B7:E7)</f>
        <v/>
      </c>
    </row>
    <row r="21">
      <c r="A21" s="10" t="inlineStr">
        <is>
          <t>EV / mean EBITDA</t>
        </is>
      </c>
      <c r="B21" s="4">
        <f>B19/B20</f>
        <v/>
      </c>
    </row>
    <row r="22">
      <c r="A22" s="10" t="inlineStr">
        <is>
          <t>Value/share @ band p25</t>
        </is>
      </c>
      <c r="B22" s="3">
        <f>(Comps!$Q$5*B20+B18)/B17</f>
        <v/>
      </c>
    </row>
    <row r="23">
      <c r="A23" s="10" t="inlineStr">
        <is>
          <t>Value/share @ median</t>
        </is>
      </c>
      <c r="B23" s="3">
        <f>(Comps!$Q$6*B20+B18)/B17</f>
        <v/>
      </c>
    </row>
    <row r="24">
      <c r="A24" s="10" t="inlineStr">
        <is>
          <t>Value/share @ p75</t>
        </is>
      </c>
      <c r="B24" s="3">
        <f>(Comps!$Q$7*B20+B18)/B17</f>
        <v/>
      </c>
    </row>
    <row r="25">
      <c r="A25" s="10" t="inlineStr">
        <is>
          <t>Multiple implied by price</t>
        </is>
      </c>
      <c r="B25" s="3">
        <f>B21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7" t="inlineStr">
        <is>
          <t>Yageo (2327.TW)</t>
        </is>
      </c>
    </row>
    <row r="2">
      <c r="A2" t="inlineStr">
        <is>
          <t>History from Yahoo fundamentals (see data/clean/financials.csv); price/consensus stockanalysis.com 2-Oct-2026.</t>
        </is>
      </c>
    </row>
    <row r="4">
      <c r="A4" s="8" t="inlineStr">
        <is>
          <t>Metric</t>
        </is>
      </c>
      <c r="B4" s="8" t="inlineStr">
        <is>
          <t>FY2022</t>
        </is>
      </c>
      <c r="C4" s="8" t="inlineStr">
        <is>
          <t>FY2023</t>
        </is>
      </c>
      <c r="D4" s="8" t="inlineStr">
        <is>
          <t>FY2024</t>
        </is>
      </c>
      <c r="E4" s="8" t="inlineStr">
        <is>
          <t>FY2025</t>
        </is>
      </c>
    </row>
    <row r="5">
      <c r="A5" t="inlineStr">
        <is>
          <t>revenue</t>
        </is>
      </c>
      <c r="B5" s="3" t="n">
        <v>121086.925</v>
      </c>
      <c r="C5" s="3" t="n">
        <v>107609.336</v>
      </c>
      <c r="D5" s="3" t="n">
        <v>121667.329</v>
      </c>
      <c r="E5" s="3" t="n">
        <v>132930.016</v>
      </c>
    </row>
    <row r="6">
      <c r="A6" t="inlineStr">
        <is>
          <t>operating income</t>
        </is>
      </c>
      <c r="B6" s="3" t="n">
        <v>28987.567</v>
      </c>
      <c r="C6" s="3" t="n">
        <v>20435.452</v>
      </c>
      <c r="D6" s="3" t="n">
        <v>23504.707</v>
      </c>
      <c r="E6" s="3" t="n">
        <v>29808.633</v>
      </c>
    </row>
    <row r="7">
      <c r="A7" t="inlineStr">
        <is>
          <t>ebitda</t>
        </is>
      </c>
      <c r="B7" s="3" t="n">
        <v>40062.311</v>
      </c>
      <c r="C7" s="3" t="n">
        <v>35251.95</v>
      </c>
      <c r="D7" s="3" t="n">
        <v>39318.056</v>
      </c>
      <c r="E7" s="3" t="n">
        <v>43822.298</v>
      </c>
    </row>
    <row r="8">
      <c r="A8" t="inlineStr">
        <is>
          <t>net income</t>
        </is>
      </c>
      <c r="B8" s="3" t="n">
        <v>22730.465</v>
      </c>
      <c r="C8" s="3" t="n">
        <v>17427.068</v>
      </c>
      <c r="D8" s="3" t="n">
        <v>19356.484</v>
      </c>
      <c r="E8" s="3" t="n">
        <v>23634.229</v>
      </c>
    </row>
    <row r="9">
      <c r="A9" t="inlineStr">
        <is>
          <t>free cash flow</t>
        </is>
      </c>
      <c r="B9" s="3" t="n">
        <v>19119.579</v>
      </c>
      <c r="C9" s="3" t="n">
        <v>14210.638</v>
      </c>
      <c r="D9" s="3" t="n">
        <v>24236.198</v>
      </c>
      <c r="E9" s="3" t="n">
        <v>24556.28</v>
      </c>
    </row>
    <row r="10">
      <c r="A10" t="inlineStr">
        <is>
          <t>capex</t>
        </is>
      </c>
      <c r="B10" s="3" t="n">
        <v>-13890.814</v>
      </c>
      <c r="C10" s="3" t="n">
        <v>-16856.777</v>
      </c>
      <c r="D10" s="3" t="n">
        <v>-6926.174</v>
      </c>
      <c r="E10" s="3" t="n">
        <v>-6306.857</v>
      </c>
    </row>
    <row r="11">
      <c r="A11" t="inlineStr">
        <is>
          <t>cash</t>
        </is>
      </c>
      <c r="B11" s="3" t="n">
        <v>57122.923</v>
      </c>
      <c r="C11" s="3" t="n">
        <v>75926.93799999999</v>
      </c>
      <c r="D11" s="3" t="n">
        <v>101821.588</v>
      </c>
      <c r="E11" s="3" t="n">
        <v>98107.753</v>
      </c>
    </row>
    <row r="12">
      <c r="A12" t="inlineStr">
        <is>
          <t>total debt</t>
        </is>
      </c>
      <c r="B12" s="3" t="n">
        <v>96238.46400000001</v>
      </c>
      <c r="C12" s="3" t="n">
        <v>137080.712</v>
      </c>
      <c r="D12" s="3" t="n">
        <v>143427.247</v>
      </c>
      <c r="E12" s="3" t="n">
        <v>150894.63</v>
      </c>
    </row>
    <row r="13">
      <c r="A13" t="inlineStr">
        <is>
          <t>Operating margin</t>
        </is>
      </c>
      <c r="B13" s="9">
        <f>B6/B5</f>
        <v/>
      </c>
      <c r="C13" s="9">
        <f>C6/C5</f>
        <v/>
      </c>
      <c r="D13" s="9">
        <f>D6/D5</f>
        <v/>
      </c>
      <c r="E13" s="9">
        <f>E6/E5</f>
        <v/>
      </c>
    </row>
    <row r="16">
      <c r="A16" s="10" t="inlineStr">
        <is>
          <t>Price</t>
        </is>
      </c>
      <c r="B16" s="11" t="n">
        <v>626</v>
      </c>
    </row>
    <row r="17">
      <c r="A17" s="10" t="inlineStr">
        <is>
          <t>Shares (mn) = mcap / price</t>
        </is>
      </c>
      <c r="B17" s="12" t="n">
        <v>2060.703</v>
      </c>
    </row>
    <row r="18">
      <c r="A18" s="10" t="inlineStr">
        <is>
          <t>Net cash (vendor)</t>
        </is>
      </c>
      <c r="B18" s="11" t="n">
        <v>-46860</v>
      </c>
    </row>
    <row r="19">
      <c r="A19" s="10" t="inlineStr">
        <is>
          <t>EV</t>
        </is>
      </c>
      <c r="B19" s="3">
        <f>B16*B17-B18</f>
        <v/>
      </c>
    </row>
    <row r="20">
      <c r="A20" s="10" t="inlineStr">
        <is>
          <t>Mean EBITDA</t>
        </is>
      </c>
      <c r="B20" s="3">
        <f>AVERAGE(B7:E7)</f>
        <v/>
      </c>
    </row>
    <row r="21">
      <c r="A21" s="10" t="inlineStr">
        <is>
          <t>EV / mean EBITDA</t>
        </is>
      </c>
      <c r="B21" s="4">
        <f>B19/B20</f>
        <v/>
      </c>
    </row>
    <row r="22">
      <c r="A22" s="10" t="inlineStr">
        <is>
          <t>Value/share @ band p25</t>
        </is>
      </c>
      <c r="B22" s="3">
        <f>(Comps!$Q$5*B20+B18)/B17</f>
        <v/>
      </c>
    </row>
    <row r="23">
      <c r="A23" s="10" t="inlineStr">
        <is>
          <t>Value/share @ median</t>
        </is>
      </c>
      <c r="B23" s="3">
        <f>(Comps!$Q$6*B20+B18)/B17</f>
        <v/>
      </c>
    </row>
    <row r="24">
      <c r="A24" s="10" t="inlineStr">
        <is>
          <t>Value/share @ p75</t>
        </is>
      </c>
      <c r="B24" s="3">
        <f>(Comps!$Q$7*B20+B18)/B17</f>
        <v/>
      </c>
    </row>
    <row r="25">
      <c r="A25" s="10" t="inlineStr">
        <is>
          <t>Multiple implied by price</t>
        </is>
      </c>
      <c r="B25" s="3">
        <f>B21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7" t="inlineStr">
        <is>
          <t>Kyocera (6971.T)</t>
        </is>
      </c>
    </row>
    <row r="2">
      <c r="A2" t="inlineStr">
        <is>
          <t>History from Yahoo fundamentals (see data/clean/financials.csv); price/consensus stockanalysis.com 2-Oct-2026.</t>
        </is>
      </c>
    </row>
    <row r="4">
      <c r="A4" s="8" t="inlineStr">
        <is>
          <t>Metric</t>
        </is>
      </c>
      <c r="B4" s="8" t="inlineStr">
        <is>
          <t>FY2022</t>
        </is>
      </c>
      <c r="C4" s="8" t="inlineStr">
        <is>
          <t>FY2023</t>
        </is>
      </c>
      <c r="D4" s="8" t="inlineStr">
        <is>
          <t>FY2024</t>
        </is>
      </c>
      <c r="E4" s="8" t="inlineStr">
        <is>
          <t>FY2025</t>
        </is>
      </c>
    </row>
    <row r="5">
      <c r="A5" t="inlineStr">
        <is>
          <t>revenue</t>
        </is>
      </c>
      <c r="B5" s="3" t="n">
        <v>2025332</v>
      </c>
      <c r="C5" s="3" t="n">
        <v>2004221</v>
      </c>
      <c r="D5" s="3" t="n">
        <v>2014454</v>
      </c>
      <c r="E5" s="3" t="n">
        <v>2070203</v>
      </c>
    </row>
    <row r="6">
      <c r="A6" t="inlineStr">
        <is>
          <t>operating income</t>
        </is>
      </c>
      <c r="B6" s="3" t="n">
        <v>128517</v>
      </c>
      <c r="C6" s="3" t="n">
        <v>92923</v>
      </c>
      <c r="D6" s="3" t="n">
        <v>26695</v>
      </c>
      <c r="E6" s="3" t="n">
        <v>95021</v>
      </c>
    </row>
    <row r="7">
      <c r="A7" t="inlineStr">
        <is>
          <t>ebitda</t>
        </is>
      </c>
      <c r="B7" s="3" t="n">
        <v>334040</v>
      </c>
      <c r="C7" s="3" t="n">
        <v>311929</v>
      </c>
      <c r="D7" s="3" t="n">
        <v>252211</v>
      </c>
      <c r="E7" s="3" t="n">
        <v>341085</v>
      </c>
    </row>
    <row r="8">
      <c r="A8" t="inlineStr">
        <is>
          <t>net income</t>
        </is>
      </c>
      <c r="B8" s="3" t="n">
        <v>127988</v>
      </c>
      <c r="C8" s="3" t="n">
        <v>101074</v>
      </c>
      <c r="D8" s="3" t="n">
        <v>24097</v>
      </c>
      <c r="E8" s="3" t="n">
        <v>140969</v>
      </c>
    </row>
    <row r="9">
      <c r="A9" t="inlineStr">
        <is>
          <t>free cash flow</t>
        </is>
      </c>
      <c r="B9" s="3" t="n">
        <v>-7431</v>
      </c>
      <c r="C9" s="3" t="n">
        <v>109330</v>
      </c>
      <c r="D9" s="3" t="n">
        <v>70074</v>
      </c>
      <c r="E9" s="3" t="n">
        <v>53189</v>
      </c>
    </row>
    <row r="10">
      <c r="A10" t="inlineStr">
        <is>
          <t>capex</t>
        </is>
      </c>
      <c r="B10" s="3" t="n">
        <v>-186643</v>
      </c>
      <c r="C10" s="3" t="n">
        <v>-159739</v>
      </c>
      <c r="D10" s="3" t="n">
        <v>-167844</v>
      </c>
      <c r="E10" s="3" t="n">
        <v>-173046</v>
      </c>
    </row>
    <row r="11">
      <c r="A11" t="inlineStr">
        <is>
          <t>cash</t>
        </is>
      </c>
      <c r="B11" s="3" t="n">
        <v>396902</v>
      </c>
      <c r="C11" s="3" t="n">
        <v>460333</v>
      </c>
      <c r="D11" s="3" t="n">
        <v>473387</v>
      </c>
      <c r="E11" s="3" t="n">
        <v>490323</v>
      </c>
    </row>
    <row r="12">
      <c r="A12" t="inlineStr">
        <is>
          <t>total debt</t>
        </is>
      </c>
      <c r="B12" s="3" t="n">
        <v>209801</v>
      </c>
      <c r="C12" s="3" t="n">
        <v>304191</v>
      </c>
      <c r="D12" s="3" t="n">
        <v>342382</v>
      </c>
      <c r="E12" s="3" t="n">
        <v>332724</v>
      </c>
    </row>
    <row r="13">
      <c r="A13" t="inlineStr">
        <is>
          <t>Operating margin</t>
        </is>
      </c>
      <c r="B13" s="9">
        <f>B6/B5</f>
        <v/>
      </c>
      <c r="C13" s="9">
        <f>C6/C5</f>
        <v/>
      </c>
      <c r="D13" s="9">
        <f>D6/D5</f>
        <v/>
      </c>
      <c r="E13" s="9">
        <f>E6/E5</f>
        <v/>
      </c>
    </row>
    <row r="16">
      <c r="A16" s="10" t="inlineStr">
        <is>
          <t>Price</t>
        </is>
      </c>
      <c r="B16" s="11" t="n">
        <v>3668</v>
      </c>
    </row>
    <row r="17">
      <c r="A17" s="10" t="inlineStr">
        <is>
          <t>Shares (mn) = mcap / price</t>
        </is>
      </c>
      <c r="B17" s="12" t="n">
        <v>1319.52</v>
      </c>
    </row>
    <row r="18">
      <c r="A18" s="10" t="inlineStr">
        <is>
          <t>Net cash (vendor)</t>
        </is>
      </c>
      <c r="B18" s="11" t="n">
        <v>96950</v>
      </c>
    </row>
    <row r="19">
      <c r="A19" s="10" t="inlineStr">
        <is>
          <t>EV</t>
        </is>
      </c>
      <c r="B19" s="3">
        <f>B16*B17-B18</f>
        <v/>
      </c>
    </row>
    <row r="20">
      <c r="A20" s="10" t="inlineStr">
        <is>
          <t>Mean EBITDA</t>
        </is>
      </c>
      <c r="B20" s="3">
        <f>AVERAGE(B7:E7)</f>
        <v/>
      </c>
    </row>
    <row r="21">
      <c r="A21" s="10" t="inlineStr">
        <is>
          <t>EV / mean EBITDA</t>
        </is>
      </c>
      <c r="B21" s="4">
        <f>B19/B20</f>
        <v/>
      </c>
    </row>
    <row r="22">
      <c r="A22" s="10" t="inlineStr">
        <is>
          <t>Value/share @ band p25</t>
        </is>
      </c>
      <c r="B22" s="3">
        <f>(Comps!$Q$5*B20+B18)/B17</f>
        <v/>
      </c>
    </row>
    <row r="23">
      <c r="A23" s="10" t="inlineStr">
        <is>
          <t>Value/share @ median</t>
        </is>
      </c>
      <c r="B23" s="3">
        <f>(Comps!$Q$6*B20+B18)/B17</f>
        <v/>
      </c>
    </row>
    <row r="24">
      <c r="A24" s="10" t="inlineStr">
        <is>
          <t>Value/share @ p75</t>
        </is>
      </c>
      <c r="B24" s="3">
        <f>(Comps!$Q$7*B20+B18)/B17</f>
        <v/>
      </c>
    </row>
    <row r="25">
      <c r="A25" s="10" t="inlineStr">
        <is>
          <t>Multiple implied by price</t>
        </is>
      </c>
      <c r="B25" s="3">
        <f>B21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7" t="inlineStr">
        <is>
          <t>Walsin Technology (2492.TW)</t>
        </is>
      </c>
    </row>
    <row r="2">
      <c r="A2" t="inlineStr">
        <is>
          <t>History from Yahoo fundamentals (see data/clean/financials.csv); price/consensus stockanalysis.com 2-Oct-2026.</t>
        </is>
      </c>
    </row>
    <row r="4">
      <c r="A4" s="8" t="inlineStr">
        <is>
          <t>Metric</t>
        </is>
      </c>
      <c r="B4" s="8" t="inlineStr">
        <is>
          <t>FY2022</t>
        </is>
      </c>
      <c r="C4" s="8" t="inlineStr">
        <is>
          <t>FY2023</t>
        </is>
      </c>
      <c r="D4" s="8" t="inlineStr">
        <is>
          <t>FY2024</t>
        </is>
      </c>
      <c r="E4" s="8" t="inlineStr">
        <is>
          <t>FY2025</t>
        </is>
      </c>
    </row>
    <row r="5">
      <c r="A5" t="inlineStr">
        <is>
          <t>revenue</t>
        </is>
      </c>
      <c r="B5" s="3" t="n">
        <v>35297.163</v>
      </c>
      <c r="C5" s="3" t="n">
        <v>32797.671</v>
      </c>
      <c r="D5" s="3" t="n">
        <v>34755.041</v>
      </c>
      <c r="E5" s="3" t="n">
        <v>36462.792</v>
      </c>
    </row>
    <row r="6">
      <c r="A6" t="inlineStr">
        <is>
          <t>operating income</t>
        </is>
      </c>
      <c r="B6" s="3" t="n">
        <v>2060.933</v>
      </c>
      <c r="C6" s="3" t="n">
        <v>1795.311</v>
      </c>
      <c r="D6" s="3" t="n">
        <v>2182.197</v>
      </c>
      <c r="E6" s="3" t="n">
        <v>2106.005</v>
      </c>
    </row>
    <row r="7">
      <c r="A7" t="inlineStr">
        <is>
          <t>ebitda</t>
        </is>
      </c>
      <c r="B7" s="3" t="n">
        <v>9374.991</v>
      </c>
      <c r="C7" s="3" t="n">
        <v>8990.409</v>
      </c>
      <c r="D7" s="3" t="n">
        <v>10429.777</v>
      </c>
      <c r="E7" s="3" t="n">
        <v>8492.575999999999</v>
      </c>
    </row>
    <row r="8">
      <c r="A8" t="inlineStr">
        <is>
          <t>net income</t>
        </is>
      </c>
      <c r="B8" s="3" t="n">
        <v>1650.587</v>
      </c>
      <c r="C8" s="3" t="n">
        <v>1984.596</v>
      </c>
      <c r="D8" s="3" t="n">
        <v>2982.507</v>
      </c>
      <c r="E8" s="3" t="n">
        <v>2298.168</v>
      </c>
    </row>
    <row r="9">
      <c r="A9" t="inlineStr">
        <is>
          <t>free cash flow</t>
        </is>
      </c>
      <c r="B9" s="3" t="n">
        <v>4161.748</v>
      </c>
      <c r="C9" s="3" t="n">
        <v>6117.578</v>
      </c>
      <c r="D9" s="3" t="n">
        <v>4860.292</v>
      </c>
      <c r="E9" s="3" t="n">
        <v>5059.053</v>
      </c>
    </row>
    <row r="10">
      <c r="A10" t="inlineStr">
        <is>
          <t>capex</t>
        </is>
      </c>
      <c r="B10" s="3" t="n">
        <v>-4770.789</v>
      </c>
      <c r="C10" s="3" t="n">
        <v>-2376.139</v>
      </c>
      <c r="D10" s="3" t="n">
        <v>-1280.768</v>
      </c>
      <c r="E10" s="3" t="n">
        <v>-1086.959</v>
      </c>
    </row>
    <row r="11">
      <c r="A11" t="inlineStr">
        <is>
          <t>cash</t>
        </is>
      </c>
      <c r="B11" s="3" t="n">
        <v>23650.505</v>
      </c>
      <c r="C11" s="3" t="n">
        <v>20129.096</v>
      </c>
      <c r="D11" s="3" t="n">
        <v>11415.389</v>
      </c>
      <c r="E11" s="3" t="n">
        <v>12567.217</v>
      </c>
    </row>
    <row r="12">
      <c r="A12" t="inlineStr">
        <is>
          <t>total debt</t>
        </is>
      </c>
      <c r="B12" s="3" t="n">
        <v>26826.031</v>
      </c>
      <c r="C12" s="3" t="n">
        <v>27344.295</v>
      </c>
      <c r="D12" s="3" t="n">
        <v>30549.834</v>
      </c>
      <c r="E12" s="3" t="n">
        <v>30438.492</v>
      </c>
    </row>
    <row r="13">
      <c r="A13" t="inlineStr">
        <is>
          <t>Operating margin</t>
        </is>
      </c>
      <c r="B13" s="9">
        <f>B6/B5</f>
        <v/>
      </c>
      <c r="C13" s="9">
        <f>C6/C5</f>
        <v/>
      </c>
      <c r="D13" s="9">
        <f>D6/D5</f>
        <v/>
      </c>
      <c r="E13" s="9">
        <f>E6/E5</f>
        <v/>
      </c>
    </row>
    <row r="16">
      <c r="A16" s="10" t="inlineStr">
        <is>
          <t>Price</t>
        </is>
      </c>
      <c r="B16" s="11" t="n">
        <v>361.5</v>
      </c>
    </row>
    <row r="17">
      <c r="A17" s="10" t="inlineStr">
        <is>
          <t>Shares (mn) = mcap / price</t>
        </is>
      </c>
      <c r="B17" s="12" t="n">
        <v>485.201</v>
      </c>
    </row>
    <row r="18">
      <c r="A18" s="10" t="inlineStr">
        <is>
          <t>Net cash (vendor)</t>
        </is>
      </c>
      <c r="B18" s="11" t="n">
        <v>-12810</v>
      </c>
    </row>
    <row r="19">
      <c r="A19" s="10" t="inlineStr">
        <is>
          <t>EV</t>
        </is>
      </c>
      <c r="B19" s="3">
        <f>B16*B17-B18</f>
        <v/>
      </c>
    </row>
    <row r="20">
      <c r="A20" s="10" t="inlineStr">
        <is>
          <t>Mean EBITDA</t>
        </is>
      </c>
      <c r="B20" s="3">
        <f>AVERAGE(B7:E7)</f>
        <v/>
      </c>
    </row>
    <row r="21">
      <c r="A21" s="10" t="inlineStr">
        <is>
          <t>EV / mean EBITDA</t>
        </is>
      </c>
      <c r="B21" s="4">
        <f>B19/B20</f>
        <v/>
      </c>
    </row>
    <row r="22">
      <c r="A22" s="10" t="inlineStr">
        <is>
          <t>Value/share @ band p25</t>
        </is>
      </c>
      <c r="B22" s="3">
        <f>(Comps!$Q$5*B20+B18)/B17</f>
        <v/>
      </c>
    </row>
    <row r="23">
      <c r="A23" s="10" t="inlineStr">
        <is>
          <t>Value/share @ median</t>
        </is>
      </c>
      <c r="B23" s="3">
        <f>(Comps!$Q$6*B20+B18)/B17</f>
        <v/>
      </c>
    </row>
    <row r="24">
      <c r="A24" s="10" t="inlineStr">
        <is>
          <t>Value/share @ p75</t>
        </is>
      </c>
      <c r="B24" s="3">
        <f>(Comps!$Q$7*B20+B18)/B17</f>
        <v/>
      </c>
    </row>
    <row r="25">
      <c r="A25" s="10" t="inlineStr">
        <is>
          <t>Multiple implied by price</t>
        </is>
      </c>
      <c r="B25" s="3">
        <f>B21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2026-10-02T16:26:55Z</dcterms:created>
  <dcterms:modified xmlns:dcterms="http://purl.org/dc/terms/" xmlns:xsi="http://www.w3.org/2001/XMLSchema-instance" xsi:type="dcterms:W3CDTF">2026-10-02T16:26:55Z</dcterms:modified>
</cp:coreProperties>
</file>