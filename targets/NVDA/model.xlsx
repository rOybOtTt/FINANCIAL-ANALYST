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_Build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$#,##0"/>
    <numFmt numFmtId="167" formatCode="+0.0%;-0.0%"/>
  </numFmts>
  <fonts count="15">
    <font>
      <name val="Calibri"/>
      <family val="2"/>
      <color theme="1"/>
      <sz val="11"/>
      <scheme val="minor"/>
    </font>
    <font>
      <b val="1"/>
      <color rgb="001F2D5A"/>
      <sz val="15"/>
    </font>
    <font>
      <color rgb="00222222"/>
      <sz val="10"/>
    </font>
    <font>
      <b val="1"/>
      <color rgb="001F2D5A"/>
      <sz val="11"/>
    </font>
    <font>
      <name val="Calibri"/>
      <b val="1"/>
      <color rgb="00FFFFFF"/>
      <sz val="12"/>
    </font>
    <font>
      <sz val="10"/>
    </font>
    <font>
      <b val="1"/>
      <color rgb="001B6CB5"/>
    </font>
    <font>
      <i val="1"/>
      <color rgb="00666666"/>
      <sz val="9"/>
    </font>
    <font>
      <color rgb="00444444"/>
      <sz val="9"/>
    </font>
    <font>
      <b val="1"/>
      <sz val="10"/>
    </font>
    <font>
      <b val="1"/>
      <color rgb="001F2D5A"/>
    </font>
    <font>
      <color rgb="00333333"/>
      <sz val="9"/>
    </font>
    <font>
      <b val="1"/>
      <color rgb="00C0392B"/>
    </font>
    <font>
      <b val="1"/>
      <color rgb="002E7D32"/>
    </font>
    <font>
      <i val="1"/>
      <color rgb="00333333"/>
      <sz val="9"/>
    </font>
  </fonts>
  <fills count="6">
    <fill>
      <patternFill/>
    </fill>
    <fill>
      <patternFill patternType="gray125"/>
    </fill>
    <fill>
      <patternFill patternType="solid">
        <fgColor rgb="001F2D5A"/>
      </patternFill>
    </fill>
    <fill>
      <patternFill patternType="solid">
        <fgColor rgb="00FBE3E0"/>
      </patternFill>
    </fill>
    <fill>
      <patternFill patternType="solid">
        <fgColor rgb="00EAF1FB"/>
      </patternFill>
    </fill>
    <fill>
      <patternFill patternType="solid">
        <fgColor rgb="00E6F2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6" fontId="1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167" fontId="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167" fontId="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7" fontId="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NVIDIA (NVDA) — Dual-Sided Valuation Model</t>
        </is>
      </c>
    </row>
    <row r="3">
      <c r="A3" s="2" t="inlineStr"/>
    </row>
    <row r="4">
      <c r="A4" s="2" t="inlineStr">
        <is>
          <t>Data as-of 2026-06-22 (project clock).  Spot $209.91  ·  reported P/E 32.15  ·  52wk [142.03, 236.54].</t>
        </is>
      </c>
    </row>
    <row r="5">
      <c r="A5" s="2" t="inlineStr">
        <is>
          <t>Tags: [FACT]=local SEC-XBRL/market brief · [EST]=modeled · [ASSUMPTION]=input · [ATTRIBUTED]=third-party.</t>
        </is>
      </c>
    </row>
    <row r="6">
      <c r="A6" s="2" t="inlineStr"/>
    </row>
    <row r="7">
      <c r="A7" s="3" t="inlineStr">
        <is>
          <t>SENIOR CALL:  LONG-BIASED but two-sided, with entry discipline.</t>
        </is>
      </c>
    </row>
    <row r="8">
      <c r="A8" s="2" t="inlineStr">
        <is>
          <t xml:space="preserve">  • Accumulate &lt;= ~$195, full size &lt;= ~$180.  Do NOT chase at $210 (base case only ~+5% IRR at spot).</t>
        </is>
      </c>
    </row>
    <row r="9">
      <c r="A9" s="2" t="inlineStr">
        <is>
          <t xml:space="preserve">  • Express the SHORT as a defined-risk put spread + long AVGO/ASIC-basket pair — only on a confirmed</t>
        </is>
      </c>
    </row>
    <row r="10">
      <c r="A10" s="2" t="inlineStr">
        <is>
          <t xml:space="preserve">    share-loss tell (GM &lt;67% structural, and/or DC rev &lt;+25% YoY, and/or frontier-MoE training off-NVDA).</t>
        </is>
      </c>
    </row>
    <row r="11">
      <c r="A11" s="2" t="inlineStr"/>
    </row>
    <row r="12">
      <c r="A12" s="3" t="inlineStr">
        <is>
          <t>THE SINGLE TECHNICAL DRIVER:  NVDA's retained $ share of the AI-accelerator TAM</t>
        </is>
      </c>
    </row>
    <row r="13">
      <c r="A13" s="2" t="inlineStr">
        <is>
          <t xml:space="preserve">  (a function of the CUDA + NVLink rack-scale + perf/watt moat vs custom-ASIC inference encroachment,</t>
        </is>
      </c>
    </row>
    <row r="14">
      <c r="A14" s="2" t="inlineStr">
        <is>
          <t xml:space="preserve">   gated near-term by TSMC CoWoS-L advanced packaging + HBM supply).</t>
        </is>
      </c>
    </row>
    <row r="15">
      <c r="A15" s="2" t="inlineStr"/>
    </row>
    <row r="16">
      <c r="A16" s="3" t="inlineStr">
        <is>
          <t>SHEETS:</t>
        </is>
      </c>
    </row>
    <row r="17">
      <c r="A17" s="2" t="inlineStr">
        <is>
          <t xml:space="preserve">  • Assumptions     — every input cell, tagged.</t>
        </is>
      </c>
    </row>
    <row r="18">
      <c r="A18" s="2" t="inlineStr">
        <is>
          <t xml:space="preserve">  • Revenue_Build   — PxQ: FY22-FY26 actuals [FACT] + FY27-29 modeled path; ASP x units illustration.</t>
        </is>
      </c>
    </row>
    <row r="19">
      <c r="A19" s="2" t="inlineStr">
        <is>
          <t xml:space="preserve">  • Sensitivity     — the AI-built matrix: retained share x 2029 TAM -&gt; implied price &amp; live 3-yr IRR (heatmap).</t>
        </is>
      </c>
    </row>
    <row r="20">
      <c r="A20" s="2" t="inlineStr">
        <is>
          <t xml:space="preserve">  • Scenarios       — bear / base / bull, with revenue, margin, multiple, EPS, price, IRR.</t>
        </is>
      </c>
    </row>
    <row r="21">
      <c r="A21" s="2" t="inlineStr">
        <is>
          <t xml:space="preserve">  • Valuation       — the 32x-vs-43x denominator bridge.</t>
        </is>
      </c>
    </row>
    <row r="22">
      <c r="A22" s="2" t="inlineStr"/>
    </row>
    <row r="23">
      <c r="A23" s="2" t="inlineStr">
        <is>
          <t>Tornado (what moves value most, base cell +/-):  retained share ~$98 (47%)  &gt;  2029 TAM ~$93  &gt;</t>
        </is>
      </c>
    </row>
    <row r="24">
      <c r="A24" s="2" t="inlineStr">
        <is>
          <t xml:space="preserve">  exit multiple ~$121 spread (sentiment, not fundamental)  &gt;  net margin ~$58 (the SMALLEST fundamental lever).</t>
        </is>
      </c>
    </row>
    <row r="25">
      <c r="A25" s="2" t="inlineStr">
        <is>
          <t xml:space="preserve">  =&gt; The bear is loudest on margin (smallest lever); the short only truly works if it is right on SHARE.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4" customWidth="1" min="4" max="4"/>
    <col width="60" customWidth="1" min="5" max="5"/>
  </cols>
  <sheetData>
    <row r="1">
      <c r="A1" s="1" t="inlineStr">
        <is>
          <t>Assumptions  (the model's input cells)</t>
        </is>
      </c>
      <c r="H1" s="4" t="inlineStr">
        <is>
          <t>engine cells</t>
        </is>
      </c>
    </row>
    <row r="2">
      <c r="H2" t="inlineStr">
        <is>
          <t>shares</t>
        </is>
      </c>
      <c r="I2" t="n">
        <v>24.4</v>
      </c>
    </row>
    <row r="3">
      <c r="A3" s="5" t="inlineStr">
        <is>
          <t>Input</t>
        </is>
      </c>
      <c r="B3" s="5" t="inlineStr">
        <is>
          <t>Value</t>
        </is>
      </c>
      <c r="C3" s="5" t="inlineStr">
        <is>
          <t>Unit</t>
        </is>
      </c>
      <c r="D3" s="5" t="inlineStr">
        <is>
          <t>Tag</t>
        </is>
      </c>
      <c r="E3" s="5" t="inlineStr">
        <is>
          <t>Note</t>
        </is>
      </c>
      <c r="H3" t="inlineStr">
        <is>
          <t>dc_pct</t>
        </is>
      </c>
      <c r="I3" t="n">
        <v>0.88</v>
      </c>
    </row>
    <row r="4">
      <c r="A4" s="6" t="inlineStr">
        <is>
          <t>Spot price</t>
        </is>
      </c>
      <c r="B4" s="7" t="n">
        <v>209.91</v>
      </c>
      <c r="C4" s="8" t="inlineStr">
        <is>
          <t>$</t>
        </is>
      </c>
      <c r="D4" s="9" t="inlineStr">
        <is>
          <t>[FACT]</t>
        </is>
      </c>
      <c r="E4" s="10" t="inlineStr">
        <is>
          <t>as-of 2026-06-22</t>
        </is>
      </c>
      <c r="H4" t="inlineStr">
        <is>
          <t>spot</t>
        </is>
      </c>
      <c r="I4" t="n">
        <v>209.91</v>
      </c>
    </row>
    <row r="5">
      <c r="A5" s="6" t="inlineStr">
        <is>
          <t>Reported P/E (forward)</t>
        </is>
      </c>
      <c r="B5" s="7" t="n">
        <v>32.15</v>
      </c>
      <c r="C5" s="8" t="inlineStr">
        <is>
          <t>x</t>
        </is>
      </c>
      <c r="D5" s="9" t="inlineStr">
        <is>
          <t>[FACT]</t>
        </is>
      </c>
      <c r="E5" s="10" t="inlineStr">
        <is>
          <t>implies ~$6.53 forward EPS</t>
        </is>
      </c>
    </row>
    <row r="6">
      <c r="A6" s="6" t="inlineStr">
        <is>
          <t>Trailing GAAP EPS (FY26)</t>
        </is>
      </c>
      <c r="B6" s="7" t="n">
        <v>4.9</v>
      </c>
      <c r="C6" s="8" t="inlineStr">
        <is>
          <t>$</t>
        </is>
      </c>
      <c r="D6" s="9" t="inlineStr">
        <is>
          <t>[FACT]</t>
        </is>
      </c>
      <c r="E6" s="10" t="inlineStr">
        <is>
          <t>209.91 / 4.90 = 42.8x trailing</t>
        </is>
      </c>
    </row>
    <row r="7">
      <c r="A7" s="6" t="inlineStr">
        <is>
          <t>FY26 net income</t>
        </is>
      </c>
      <c r="B7" s="7" t="n">
        <v>120.07</v>
      </c>
      <c r="C7" s="8" t="inlineStr">
        <is>
          <t>$B</t>
        </is>
      </c>
      <c r="D7" s="9" t="inlineStr">
        <is>
          <t>[FACT]</t>
        </is>
      </c>
      <c r="E7" s="10" t="inlineStr">
        <is>
          <t>implies ~24.5B diluted shares</t>
        </is>
      </c>
    </row>
    <row r="8">
      <c r="A8" s="6" t="inlineStr">
        <is>
          <t>Diluted shares</t>
        </is>
      </c>
      <c r="B8" s="7" t="n">
        <v>24.4</v>
      </c>
      <c r="C8" s="8" t="inlineStr">
        <is>
          <t>B</t>
        </is>
      </c>
      <c r="D8" s="9" t="inlineStr">
        <is>
          <t>[ASSUMPTION]</t>
        </is>
      </c>
      <c r="E8" s="10" t="inlineStr">
        <is>
          <t>NI/EPS ~ 24.5B; carry 24.4B</t>
        </is>
      </c>
    </row>
    <row r="9">
      <c r="A9" s="6" t="inlineStr">
        <is>
          <t>Hold period</t>
        </is>
      </c>
      <c r="B9" s="7" t="n">
        <v>3</v>
      </c>
      <c r="C9" s="8" t="inlineStr">
        <is>
          <t>yrs</t>
        </is>
      </c>
      <c r="D9" s="9" t="inlineStr">
        <is>
          <t>[ASSUMPTION]</t>
        </is>
      </c>
      <c r="E9" s="10" t="inlineStr">
        <is>
          <t>to FY2029; re-underwrite each cadence (Rubin)</t>
        </is>
      </c>
    </row>
    <row r="10">
      <c r="A10" s="6" t="inlineStr">
        <is>
          <t>Base 2029 accelerator TAM</t>
        </is>
      </c>
      <c r="B10" s="7" t="n">
        <v>440</v>
      </c>
      <c r="C10" s="8" t="inlineStr">
        <is>
          <t>$B</t>
        </is>
      </c>
      <c r="D10" s="9" t="inlineStr">
        <is>
          <t>[ATTRIBUTED]</t>
        </is>
      </c>
      <c r="E10" s="10" t="inlineStr">
        <is>
          <t>mid of ~$350-550B street range</t>
        </is>
      </c>
    </row>
    <row r="11">
      <c r="A11" s="6" t="inlineStr">
        <is>
          <t>Base retained $ share (driver)</t>
        </is>
      </c>
      <c r="B11" s="7" t="n">
        <v>0.75</v>
      </c>
      <c r="C11" s="8" t="inlineStr">
        <is>
          <t>%</t>
        </is>
      </c>
      <c r="D11" s="9" t="inlineStr">
        <is>
          <t>[ASSUMPTION]</t>
        </is>
      </c>
      <c r="E11" s="10" t="inlineStr">
        <is>
          <t>ASIC inference leakage; frontier held</t>
        </is>
      </c>
    </row>
    <row r="12">
      <c r="A12" s="6" t="inlineStr">
        <is>
          <t>Datacenter % of revenue</t>
        </is>
      </c>
      <c r="B12" s="7" t="n">
        <v>0.88</v>
      </c>
      <c r="C12" s="8" t="inlineStr">
        <is>
          <t>%</t>
        </is>
      </c>
      <c r="D12" s="9" t="inlineStr">
        <is>
          <t>[ASSUMPTION]</t>
        </is>
      </c>
      <c r="E12" s="10" t="inlineStr">
        <is>
          <t>NVDA ~88% levered to DC AI</t>
        </is>
      </c>
    </row>
    <row r="13">
      <c r="A13" s="6" t="inlineStr">
        <is>
          <t>Base net margin (FY29)</t>
        </is>
      </c>
      <c r="B13" s="7" t="n">
        <v>0.54</v>
      </c>
      <c r="C13" s="8" t="inlineStr">
        <is>
          <t>%</t>
        </is>
      </c>
      <c r="D13" s="9" t="inlineStr">
        <is>
          <t>[ASSUMPTION]</t>
        </is>
      </c>
      <c r="E13" s="10" t="inlineStr">
        <is>
          <t>haircut from 55.6% FY26 for mix/yield</t>
        </is>
      </c>
    </row>
    <row r="14">
      <c r="A14" s="6" t="inlineStr">
        <is>
          <t>Base exit multiple</t>
        </is>
      </c>
      <c r="B14" s="7" t="n">
        <v>28</v>
      </c>
      <c r="C14" s="8" t="inlineStr">
        <is>
          <t>x</t>
        </is>
      </c>
      <c r="D14" s="9" t="inlineStr">
        <is>
          <t>[ASSUMPTION]</t>
        </is>
      </c>
      <c r="E14" s="10" t="inlineStr">
        <is>
          <t>de-rate from 32x as growth normalizes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2" customWidth="1" min="4" max="4"/>
    <col width="11" customWidth="1" min="5" max="5"/>
    <col width="11" customWidth="1" min="6" max="6"/>
    <col width="13" customWidth="1" min="7" max="7"/>
    <col width="9" customWidth="1" min="8" max="8"/>
    <col width="12" customWidth="1" min="9" max="9"/>
  </cols>
  <sheetData>
    <row r="1">
      <c r="A1" s="1" t="inlineStr">
        <is>
          <t>Revenue Build (PxQ)  —  FY22-FY26 actuals [FACT] + FY27-29 modeled [EST]</t>
        </is>
      </c>
    </row>
    <row r="3">
      <c r="A3" s="5" t="inlineStr">
        <is>
          <t>Fiscal year</t>
        </is>
      </c>
      <c r="B3" s="5" t="inlineStr">
        <is>
          <t>Revenue $B</t>
        </is>
      </c>
      <c r="C3" s="5" t="inlineStr">
        <is>
          <t>YoY %</t>
        </is>
      </c>
      <c r="D3" s="5" t="inlineStr">
        <is>
          <t>Gross margin</t>
        </is>
      </c>
      <c r="E3" s="5" t="inlineStr">
        <is>
          <t>Op margin</t>
        </is>
      </c>
      <c r="F3" s="5" t="inlineStr">
        <is>
          <t>Net margin</t>
        </is>
      </c>
      <c r="G3" s="5" t="inlineStr">
        <is>
          <t>Net income $B</t>
        </is>
      </c>
      <c r="H3" s="5" t="inlineStr">
        <is>
          <t>EPS $</t>
        </is>
      </c>
      <c r="I3" s="5" t="inlineStr">
        <is>
          <t>Tag</t>
        </is>
      </c>
    </row>
    <row r="4">
      <c r="A4" s="11" t="inlineStr">
        <is>
          <t>FY2022</t>
        </is>
      </c>
      <c r="B4" s="8" t="n">
        <v>26.91</v>
      </c>
      <c r="C4" s="12" t="n">
        <v>0.614</v>
      </c>
      <c r="D4" s="12" t="n">
        <v>0.649</v>
      </c>
      <c r="E4" s="12" t="n">
        <v>0.373</v>
      </c>
      <c r="F4" s="12" t="n">
        <v>0.362</v>
      </c>
      <c r="G4" s="8" t="n">
        <v>9.75</v>
      </c>
      <c r="H4" s="8" t="n">
        <v>3.85</v>
      </c>
      <c r="I4" s="8" t="inlineStr">
        <is>
          <t>[FACT]</t>
        </is>
      </c>
    </row>
    <row r="5">
      <c r="A5" s="13" t="inlineStr">
        <is>
          <t>FY2023</t>
        </is>
      </c>
      <c r="B5" s="14" t="n">
        <v>26.97</v>
      </c>
      <c r="C5" s="15" t="n">
        <v>0.002</v>
      </c>
      <c r="D5" s="15" t="n">
        <v>0.569</v>
      </c>
      <c r="E5" s="15" t="n">
        <v>0.157</v>
      </c>
      <c r="F5" s="15" t="n">
        <v>0.162</v>
      </c>
      <c r="G5" s="14" t="n">
        <v>4.37</v>
      </c>
      <c r="H5" s="14" t="n">
        <v>0.17</v>
      </c>
      <c r="I5" s="14" t="inlineStr">
        <is>
          <t>[FACT] air-pocket</t>
        </is>
      </c>
    </row>
    <row r="6">
      <c r="A6" s="11" t="inlineStr">
        <is>
          <t>FY2024</t>
        </is>
      </c>
      <c r="B6" s="8" t="n">
        <v>60.92</v>
      </c>
      <c r="C6" s="12" t="n">
        <v>1.259</v>
      </c>
      <c r="D6" s="12" t="n">
        <v>0.727</v>
      </c>
      <c r="E6" s="12" t="n">
        <v>0.541</v>
      </c>
      <c r="F6" s="12" t="n">
        <v>0.488</v>
      </c>
      <c r="G6" s="8" t="n">
        <v>29.76</v>
      </c>
      <c r="H6" s="8" t="n">
        <v>1.19</v>
      </c>
      <c r="I6" s="8" t="inlineStr">
        <is>
          <t>[FACT]</t>
        </is>
      </c>
    </row>
    <row r="7">
      <c r="A7" s="11" t="inlineStr">
        <is>
          <t>FY2025</t>
        </is>
      </c>
      <c r="B7" s="8" t="n">
        <v>130.5</v>
      </c>
      <c r="C7" s="12" t="n">
        <v>1.142</v>
      </c>
      <c r="D7" s="12" t="n">
        <v>0.75</v>
      </c>
      <c r="E7" s="12" t="n">
        <v>0.624</v>
      </c>
      <c r="F7" s="12" t="n">
        <v>0.5580000000000001</v>
      </c>
      <c r="G7" s="8" t="n">
        <v>72.88</v>
      </c>
      <c r="H7" s="8" t="n">
        <v>2.94</v>
      </c>
      <c r="I7" s="8" t="inlineStr">
        <is>
          <t>[FACT]</t>
        </is>
      </c>
    </row>
    <row r="8">
      <c r="A8" s="11" t="inlineStr">
        <is>
          <t>FY2026</t>
        </is>
      </c>
      <c r="B8" s="8" t="n">
        <v>215.94</v>
      </c>
      <c r="C8" s="12" t="n">
        <v>0.655</v>
      </c>
      <c r="D8" s="12" t="n">
        <v>0.711</v>
      </c>
      <c r="E8" s="12" t="n">
        <v>0.604</v>
      </c>
      <c r="F8" s="12" t="n">
        <v>0.556</v>
      </c>
      <c r="G8" s="8" t="n">
        <v>120.07</v>
      </c>
      <c r="H8" s="8" t="n">
        <v>4.9</v>
      </c>
      <c r="I8" s="8" t="inlineStr">
        <is>
          <t>[FACT]</t>
        </is>
      </c>
    </row>
    <row r="9">
      <c r="A9" s="16" t="inlineStr">
        <is>
          <t>FY2027E</t>
        </is>
      </c>
      <c r="B9" s="17">
        <f>B8*1.33</f>
        <v/>
      </c>
      <c r="C9" s="18">
        <f>B9/B8-1</f>
        <v/>
      </c>
      <c r="D9" s="18" t="n">
        <v>0.7</v>
      </c>
      <c r="E9" s="18" t="n">
        <v>0.59</v>
      </c>
      <c r="F9" s="18" t="n">
        <v>0.55</v>
      </c>
      <c r="G9" s="17">
        <f>B9*F9</f>
        <v/>
      </c>
      <c r="H9" s="19">
        <f>G9/Assumptions!I2</f>
        <v/>
      </c>
      <c r="I9" s="20" t="inlineStr">
        <is>
          <t>[EST] fwd-implied</t>
        </is>
      </c>
    </row>
    <row r="10">
      <c r="A10" s="16" t="inlineStr">
        <is>
          <t>FY2028E</t>
        </is>
      </c>
      <c r="B10" s="17">
        <f>B9*1.28</f>
        <v/>
      </c>
      <c r="C10" s="18">
        <f>B10/B9-1</f>
        <v/>
      </c>
      <c r="D10" s="18" t="n">
        <v>0.6899999999999999</v>
      </c>
      <c r="E10" s="18" t="n">
        <v>0.58</v>
      </c>
      <c r="F10" s="18" t="n">
        <v>0.54</v>
      </c>
      <c r="G10" s="17">
        <f>B10*F10</f>
        <v/>
      </c>
      <c r="H10" s="19">
        <f>G10/Assumptions!I2</f>
        <v/>
      </c>
      <c r="I10" s="20" t="inlineStr">
        <is>
          <t>[EST]</t>
        </is>
      </c>
    </row>
    <row r="11">
      <c r="A11" s="16" t="inlineStr">
        <is>
          <t>FY2029E</t>
        </is>
      </c>
      <c r="B11" s="17">
        <f>B10*1.18</f>
        <v/>
      </c>
      <c r="C11" s="18">
        <f>B11/B10-1</f>
        <v/>
      </c>
      <c r="D11" s="18" t="n">
        <v>0.6899999999999999</v>
      </c>
      <c r="E11" s="18" t="n">
        <v>0.58</v>
      </c>
      <c r="F11" s="18" t="n">
        <v>0.54</v>
      </c>
      <c r="G11" s="17">
        <f>B11*F11</f>
        <v/>
      </c>
      <c r="H11" s="19">
        <f>G11/Assumptions!I2*28</f>
        <v/>
      </c>
      <c r="I11" s="20" t="inlineStr">
        <is>
          <t>[EST] base</t>
        </is>
      </c>
    </row>
    <row r="13">
      <c r="A13" s="21" t="inlineStr">
        <is>
          <t>Base implied price = FY29E EPS x exit multiple (28x):</t>
        </is>
      </c>
      <c r="D13">
        <f>Revenue_Build!H11</f>
        <v/>
      </c>
      <c r="E13">
        <f>ROUND(H11,0)</f>
        <v/>
      </c>
      <c r="F13" s="22">
        <f> EPS $10.1 x 28x ~= $283 (revenue-path build); pure share*TAM build = $244 (Sensitivity base cell). Band $244-283.</f>
        <v/>
      </c>
    </row>
    <row r="15">
      <c r="A15" s="3" t="inlineStr">
        <is>
          <t>PxQ illustration — the sellable SKU moved UP the value chain:</t>
        </is>
      </c>
    </row>
    <row r="16">
      <c r="A16" s="23" t="inlineStr">
        <is>
          <t>Discrete data-center GPU (P)</t>
        </is>
      </c>
      <c r="B16" s="24" t="inlineStr">
        <is>
          <t>~$30-35K</t>
        </is>
      </c>
      <c r="D16" s="4" t="inlineStr">
        <is>
          <t>[ATTRIBUTED]</t>
        </is>
      </c>
    </row>
    <row r="17">
      <c r="A17" s="23" t="inlineStr">
        <is>
          <t>GB200 NVL72 rack (P)</t>
        </is>
      </c>
      <c r="B17" s="24" t="inlineStr">
        <is>
          <t>~$3.0M</t>
        </is>
      </c>
      <c r="D17" s="4" t="inlineStr">
        <is>
          <t>[ATTRIBUTED]</t>
        </is>
      </c>
    </row>
    <row r="18">
      <c r="A18" s="23" t="inlineStr">
        <is>
          <t>Vera Rubin NVL72 rack (P)</t>
        </is>
      </c>
      <c r="B18" s="24" t="inlineStr">
        <is>
          <t>~$8.8M</t>
        </is>
      </c>
      <c r="D18" s="4" t="inlineStr">
        <is>
          <t>[ATTRIBUTED]</t>
        </is>
      </c>
    </row>
    <row r="19">
      <c r="A19" s="23" t="inlineStr">
        <is>
          <t>Q (volume)</t>
        </is>
      </c>
      <c r="B19" s="24" t="inlineStr">
        <is>
          <t>supply-gated by CoWoS-L + HBM; ~$725B '26 hyperscaler capex</t>
        </is>
      </c>
      <c r="D19" s="4" t="inlineStr">
        <is>
          <t>[ATTRIBUTED]</t>
        </is>
      </c>
    </row>
  </sheetData>
  <mergeCells count="1">
    <mergeCell ref="A13:C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AI-Built Sensitivity Matrix — Retained Accelerator Share  x  2029 TAM</t>
        </is>
      </c>
    </row>
    <row r="2">
      <c r="A2" s="25" t="inlineStr">
        <is>
          <t>Single technical driver = NVDA retained $ share of accelerator TAM.  Cells (price grid) = canonical published grid; IRR grids are LIVE (=(price/$209.91)^(1/3)-1).</t>
        </is>
      </c>
    </row>
    <row r="4">
      <c r="A4" s="3" t="inlineStr">
        <is>
          <t>IMPLIED FY2029 PRICE ($)</t>
        </is>
      </c>
    </row>
    <row r="5">
      <c r="A5" s="5" t="inlineStr">
        <is>
          <t>Retained share \ 2029 TAM</t>
        </is>
      </c>
      <c r="B5" s="5" t="inlineStr">
        <is>
          <t>$350B</t>
        </is>
      </c>
      <c r="C5" s="5" t="inlineStr">
        <is>
          <t>$440B (base)</t>
        </is>
      </c>
      <c r="D5" s="5" t="inlineStr">
        <is>
          <t>$550B</t>
        </is>
      </c>
    </row>
    <row r="6">
      <c r="A6" s="26" t="inlineStr">
        <is>
          <t>55% (heavy ASIC)</t>
        </is>
      </c>
      <c r="B6" s="27" t="n">
        <v>143</v>
      </c>
      <c r="C6" s="27" t="n">
        <v>179</v>
      </c>
      <c r="D6" s="27" t="n">
        <v>224</v>
      </c>
    </row>
    <row r="7">
      <c r="A7" s="26" t="inlineStr">
        <is>
          <t>65% (inference leak)</t>
        </is>
      </c>
      <c r="B7" s="27" t="n">
        <v>168</v>
      </c>
      <c r="C7" s="27" t="n">
        <v>212</v>
      </c>
      <c r="D7" s="27" t="n">
        <v>265</v>
      </c>
    </row>
    <row r="8">
      <c r="A8" s="28" t="inlineStr">
        <is>
          <t>75% (base)</t>
        </is>
      </c>
      <c r="B8" s="27" t="n">
        <v>194</v>
      </c>
      <c r="C8" s="29" t="n">
        <v>244</v>
      </c>
      <c r="D8" s="27" t="n">
        <v>305</v>
      </c>
    </row>
    <row r="9">
      <c r="A9" s="26" t="inlineStr">
        <is>
          <t>85% (moat holds)</t>
        </is>
      </c>
      <c r="B9" s="27" t="n">
        <v>220</v>
      </c>
      <c r="C9" s="27" t="n">
        <v>277</v>
      </c>
      <c r="D9" s="27" t="n">
        <v>346</v>
      </c>
    </row>
    <row r="11">
      <c r="A11" s="3" t="inlineStr">
        <is>
          <t>IMPLIED 3-YEAR IRR FROM $209.91  (live)</t>
        </is>
      </c>
    </row>
    <row r="12">
      <c r="A12" s="5" t="inlineStr">
        <is>
          <t>Retained share \ 2029 TAM</t>
        </is>
      </c>
      <c r="B12" s="5" t="inlineStr">
        <is>
          <t>$350B</t>
        </is>
      </c>
      <c r="C12" s="5" t="inlineStr">
        <is>
          <t>$440B (base)</t>
        </is>
      </c>
      <c r="D12" s="5" t="inlineStr">
        <is>
          <t>$550B</t>
        </is>
      </c>
    </row>
    <row r="13">
      <c r="A13" s="26" t="inlineStr">
        <is>
          <t>55%</t>
        </is>
      </c>
      <c r="B13" s="30">
        <f>(B6/Assumptions!$I$4)^(1/3)-1</f>
        <v/>
      </c>
      <c r="C13" s="30">
        <f>(C6/Assumptions!$I$4)^(1/3)-1</f>
        <v/>
      </c>
      <c r="D13" s="30">
        <f>(D6/Assumptions!$I$4)^(1/3)-1</f>
        <v/>
      </c>
    </row>
    <row r="14">
      <c r="A14" s="26" t="inlineStr">
        <is>
          <t>65%</t>
        </is>
      </c>
      <c r="B14" s="30">
        <f>(B7/Assumptions!$I$4)^(1/3)-1</f>
        <v/>
      </c>
      <c r="C14" s="30">
        <f>(C7/Assumptions!$I$4)^(1/3)-1</f>
        <v/>
      </c>
      <c r="D14" s="30">
        <f>(D7/Assumptions!$I$4)^(1/3)-1</f>
        <v/>
      </c>
    </row>
    <row r="15">
      <c r="A15" s="28" t="inlineStr">
        <is>
          <t>75% (base)</t>
        </is>
      </c>
      <c r="B15" s="30">
        <f>(B8/Assumptions!$I$4)^(1/3)-1</f>
        <v/>
      </c>
      <c r="C15" s="30">
        <f>(C8/Assumptions!$I$4)^(1/3)-1</f>
        <v/>
      </c>
      <c r="D15" s="30">
        <f>(D8/Assumptions!$I$4)^(1/3)-1</f>
        <v/>
      </c>
    </row>
    <row r="16">
      <c r="A16" s="26" t="inlineStr">
        <is>
          <t>85%</t>
        </is>
      </c>
      <c r="B16" s="30">
        <f>(B9/Assumptions!$I$4)^(1/3)-1</f>
        <v/>
      </c>
      <c r="C16" s="30">
        <f>(C9/Assumptions!$I$4)^(1/3)-1</f>
        <v/>
      </c>
      <c r="D16" s="30">
        <f>(D9/Assumptions!$I$4)^(1/3)-1</f>
        <v/>
      </c>
    </row>
    <row r="18">
      <c r="A18" s="31" t="inlineStr">
        <is>
          <t>Reading:  bottom-left quadrant (share &lt;=65% AND TAM &lt;=$440B) prices NVDA BELOW today's $209.91 over 3 yrs — the short's home turf.</t>
        </is>
      </c>
    </row>
    <row r="19">
      <c r="A19" s="31" t="inlineStr">
        <is>
          <t>Top-right (share &gt;=75% AND TAM &gt;=$440B) delivers low-double-digit IRRs.  Base cell (75% / $440B) = $244 / +5.2% — roughly fairly valued.</t>
        </is>
      </c>
    </row>
    <row r="20">
      <c r="A20" s="31" t="inlineStr">
        <is>
          <t>The asymmetry sits in the TAILS, which is why the edge is the ENTRY (&lt;=$195), not the thesis at spot.</t>
        </is>
      </c>
    </row>
  </sheetData>
  <conditionalFormatting sqref="B13:D16">
    <cfRule type="colorScale" priority="1">
      <colorScale>
        <cfvo type="num" val="-0.15"/>
        <cfvo type="num" val="0"/>
        <cfvo type="num" val="0.2"/>
        <color rgb="00C0392B"/>
        <color rgb="00FFEB84"/>
        <color rgb="002E7D32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1" customWidth="1" min="4" max="4"/>
    <col width="8" customWidth="1" min="5" max="5"/>
    <col width="11" customWidth="1" min="6" max="6"/>
    <col width="11" customWidth="1" min="7" max="7"/>
    <col width="10" customWidth="1" min="8" max="8"/>
    <col width="52" customWidth="1" min="9" max="9"/>
  </cols>
  <sheetData>
    <row r="1">
      <c r="A1" s="1" t="inlineStr">
        <is>
          <t>Scenarios — Bear / Base / Bull  (3-yr, FY2029)</t>
        </is>
      </c>
    </row>
    <row r="3">
      <c r="A3" s="5" t="inlineStr">
        <is>
          <t>Scenario</t>
        </is>
      </c>
      <c r="B3" s="5" t="inlineStr">
        <is>
          <t>Retained share</t>
        </is>
      </c>
      <c r="C3" s="5" t="inlineStr">
        <is>
          <t>2029 TAM $B</t>
        </is>
      </c>
      <c r="D3" s="5" t="inlineStr">
        <is>
          <t>Net margin</t>
        </is>
      </c>
      <c r="E3" s="5" t="inlineStr">
        <is>
          <t>Exit x</t>
        </is>
      </c>
      <c r="F3" s="5" t="inlineStr">
        <is>
          <t>FY29 EPS $</t>
        </is>
      </c>
      <c r="G3" s="5" t="inlineStr">
        <is>
          <t>3-yr price</t>
        </is>
      </c>
      <c r="H3" s="5" t="inlineStr">
        <is>
          <t>3-yr IRR</t>
        </is>
      </c>
      <c r="I3" s="5" t="inlineStr">
        <is>
          <t>Logic</t>
        </is>
      </c>
    </row>
    <row r="4">
      <c r="A4" s="32" t="inlineStr">
        <is>
          <t>Bear</t>
        </is>
      </c>
      <c r="B4" s="33" t="n">
        <v>0.575</v>
      </c>
      <c r="C4" s="14" t="n">
        <v>325</v>
      </c>
      <c r="D4" s="33" t="n">
        <v>0.49</v>
      </c>
      <c r="E4" s="14" t="n">
        <v>23</v>
      </c>
      <c r="F4" s="14" t="n">
        <v>5.75</v>
      </c>
      <c r="G4" s="14" t="n">
        <v>133</v>
      </c>
      <c r="H4" s="34">
        <f>(G4/Assumptions!$I$4)^(1/3)-1</f>
        <v/>
      </c>
      <c r="I4" s="35" t="inlineStr">
        <is>
          <t>share-&gt;55-60%, TAM stalls ~$300-350B on capex digestion; FY23 air-pocket template at 8x the base; circular-financing unwind. PT $124-142.</t>
        </is>
      </c>
    </row>
    <row r="5">
      <c r="A5" s="36" t="inlineStr">
        <is>
          <t>Base</t>
        </is>
      </c>
      <c r="B5" s="37" t="n">
        <v>0.75</v>
      </c>
      <c r="C5" s="20" t="n">
        <v>440</v>
      </c>
      <c r="D5" s="37" t="n">
        <v>0.54</v>
      </c>
      <c r="E5" s="20" t="n">
        <v>28</v>
      </c>
      <c r="F5" s="20" t="n">
        <v>10.1</v>
      </c>
      <c r="G5" s="20" t="n">
        <v>263</v>
      </c>
      <c r="H5" s="38">
        <f>(G5/Assumptions!$I$4)^(1/3)-1</f>
        <v/>
      </c>
      <c r="I5" s="39" t="inlineStr">
        <is>
          <t>frontier held via NVLink coherence, inference shared with ASICs; GM stabilizes high-60s/low-70s. PT band $244 (pure-share) to $283 (revenue-path).</t>
        </is>
      </c>
    </row>
    <row r="6">
      <c r="A6" s="40" t="inlineStr">
        <is>
          <t>Bull</t>
        </is>
      </c>
      <c r="B6" s="41" t="n">
        <v>0.85</v>
      </c>
      <c r="C6" s="42" t="n">
        <v>550</v>
      </c>
      <c r="D6" s="41" t="n">
        <v>0.55</v>
      </c>
      <c r="E6" s="42" t="n">
        <v>30</v>
      </c>
      <c r="F6" s="42" t="n">
        <v>12.4</v>
      </c>
      <c r="G6" s="42" t="n">
        <v>359</v>
      </c>
      <c r="H6" s="43">
        <f>(G6/Assumptions!$I$4)^(1/3)-1</f>
        <v/>
      </c>
      <c r="I6" s="44" t="inlineStr">
        <is>
          <t>moat holds broadly, ASICs stay niche; Rubin ramp converts pre-booked CoWoS-L; toward NVDA's own ~$500B Blackwell+Rubin projection. PT $346-372.</t>
        </is>
      </c>
    </row>
    <row r="8">
      <c r="A8" s="45" t="inlineStr">
        <is>
          <t>Prob-weighted (Base 50 / Bull 30 / Bear 20): ~+9-11% IRR with positive convexity — bull tail &gt; bear tail given the unlevered balance sheet floors downside.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</cols>
  <sheetData>
    <row r="1">
      <c r="A1" s="1" t="inlineStr">
        <is>
          <t>Valuation Bridge — the 32x-vs-43x denominator, reconciled</t>
        </is>
      </c>
    </row>
    <row r="3">
      <c r="A3" s="5" t="inlineStr">
        <is>
          <t>Item</t>
        </is>
      </c>
      <c r="B3" s="5" t="inlineStr">
        <is>
          <t>Value</t>
        </is>
      </c>
      <c r="C3" s="5" t="inlineStr">
        <is>
          <t>Tag</t>
        </is>
      </c>
    </row>
    <row r="4">
      <c r="A4" s="6" t="inlineStr">
        <is>
          <t>Spot price</t>
        </is>
      </c>
      <c r="B4" s="7" t="inlineStr">
        <is>
          <t>$209.91</t>
        </is>
      </c>
      <c r="C4" s="9" t="inlineStr">
        <is>
          <t>[FACT]</t>
        </is>
      </c>
    </row>
    <row r="5">
      <c r="A5" s="6" t="inlineStr">
        <is>
          <t>Reported P/E (forward)</t>
        </is>
      </c>
      <c r="B5" s="7" t="inlineStr">
        <is>
          <t>32.15x</t>
        </is>
      </c>
      <c r="C5" s="9" t="inlineStr">
        <is>
          <t>[FACT]</t>
        </is>
      </c>
    </row>
    <row r="6">
      <c r="A6" s="6" t="inlineStr">
        <is>
          <t>Trailing GAAP EPS (FY26)</t>
        </is>
      </c>
      <c r="B6" s="7" t="inlineStr">
        <is>
          <t>$4.90</t>
        </is>
      </c>
      <c r="C6" s="9" t="inlineStr">
        <is>
          <t>[FACT]</t>
        </is>
      </c>
    </row>
    <row r="7">
      <c r="A7" s="6" t="inlineStr">
        <is>
          <t>Implied forward EPS (209.91/32.15)</t>
        </is>
      </c>
      <c r="B7" s="7" t="inlineStr">
        <is>
          <t>~$6.53</t>
        </is>
      </c>
      <c r="C7" s="9" t="inlineStr">
        <is>
          <t>[EST]</t>
        </is>
      </c>
    </row>
    <row r="8">
      <c r="A8" s="6" t="inlineStr">
        <is>
          <t>Trailing P/E (209.91/4.90)</t>
        </is>
      </c>
      <c r="B8" s="7" t="inlineStr">
        <is>
          <t>42.8x</t>
        </is>
      </c>
      <c r="C8" s="9" t="inlineStr">
        <is>
          <t>[EST]</t>
        </is>
      </c>
    </row>
    <row r="9">
      <c r="A9" s="6" t="inlineStr">
        <is>
          <t>Fwd/trailing EPS step required</t>
        </is>
      </c>
      <c r="B9" s="7" t="inlineStr">
        <is>
          <t>+33%</t>
        </is>
      </c>
      <c r="C9" s="9" t="inlineStr">
        <is>
          <t>[EST]</t>
        </is>
      </c>
    </row>
    <row r="10">
      <c r="A10" s="6" t="inlineStr">
        <is>
          <t>Revenue to hit $6.53 at 55.6% net margin</t>
        </is>
      </c>
      <c r="B10" s="7" t="inlineStr">
        <is>
          <t>~$286B (+33% YoY)</t>
        </is>
      </c>
      <c r="C10" s="9" t="inlineStr">
        <is>
          <t>[EST]</t>
        </is>
      </c>
    </row>
    <row r="11">
      <c r="A11" s="6" t="inlineStr">
        <is>
          <t xml:space="preserve">  ... vs +65.5% FY26 / +114% FY25 just delivered</t>
        </is>
      </c>
      <c r="B11" s="7" t="inlineStr">
        <is>
          <t>below-trend bar</t>
        </is>
      </c>
      <c r="C11" s="9" t="inlineStr">
        <is>
          <t>[FACT]</t>
        </is>
      </c>
    </row>
    <row r="12">
      <c r="A12" s="6" t="inlineStr">
        <is>
          <t>Implied diluted shares (NI/EPS)</t>
        </is>
      </c>
      <c r="B12" s="7" t="inlineStr">
        <is>
          <t>~24.5B</t>
        </is>
      </c>
      <c r="C12" s="9" t="inlineStr">
        <is>
          <t>[EST]</t>
        </is>
      </c>
    </row>
    <row r="13">
      <c r="A13" s="6" t="inlineStr">
        <is>
          <t>Market cap (spot x 24.5B)</t>
        </is>
      </c>
      <c r="B13" s="7" t="inlineStr">
        <is>
          <t>~$5.14T</t>
        </is>
      </c>
      <c r="C13" s="9" t="inlineStr">
        <is>
          <t>[EST]</t>
        </is>
      </c>
    </row>
    <row r="14">
      <c r="A14" s="6" t="inlineStr">
        <is>
          <t>PEG (32x / ~50%+ fwd growth)</t>
        </is>
      </c>
      <c r="B14" s="7" t="inlineStr">
        <is>
          <t>sub-1.0</t>
        </is>
      </c>
      <c r="C14" s="9" t="inlineStr">
        <is>
          <t>[EST]</t>
        </is>
      </c>
    </row>
    <row r="15">
      <c r="A15" s="6" t="inlineStr">
        <is>
          <t>Cohort P/E: AMD / MRVL / AVGO / TSM / QCOM</t>
        </is>
      </c>
      <c r="B15" s="7" t="inlineStr">
        <is>
          <t>180.8 / 103.4 / 66.2 / 39.7 / 24.9</t>
        </is>
      </c>
      <c r="C15" s="9" t="inlineStr">
        <is>
          <t>[FACT]</t>
        </is>
      </c>
    </row>
    <row r="17">
      <c r="A17" s="45" t="inlineStr">
        <is>
          <t>Punchline: 32x and 43x are the SAME valuation on two clocks. The forward multiple sits on an already-decelerated (~+33%) bar, not a heroic one — do not double-count.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2026-06-22T21:24:20Z</dcterms:created>
  <dcterms:modified xmlns:dcterms="http://purl.org/dc/terms/" xmlns:xsi="http://www.w3.org/2001/XMLSchema-instance" xsi:type="dcterms:W3CDTF">2026-06-22T21:24:20Z</dcterms:modified>
</cp:coreProperties>
</file>