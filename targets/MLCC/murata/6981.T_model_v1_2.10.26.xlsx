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Band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1F2D5A"/>
      <sz val="16"/>
    </font>
    <font>
      <i val="1"/>
      <color rgb="00687386"/>
    </font>
    <font>
      <b val="1"/>
      <color rgb="00FFFFFF"/>
    </font>
    <font>
      <b val="1"/>
      <color rgb="001F2D5A"/>
    </font>
    <font>
      <b val="1"/>
      <color rgb="001F2D5A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2D5A"/>
      </patternFill>
    </fill>
    <fill>
      <patternFill patternType="solid">
        <fgColor rgb="00FFF4CC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9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2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9" fontId="0" fillId="4" borderId="0" pivotButton="0" quotePrefix="0" xfId="0"/>
    <xf numFmtId="9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Murata (6981.T): house valuation</t>
        </is>
      </c>
    </row>
    <row r="2">
      <c r="A2" s="2" t="inlineStr">
        <is>
          <t>Method: EV / 5-yr-mean EBITDA, own band p25/median/p75 (no regime credit); P/B timing check. Price 2-Oct-2026.</t>
        </is>
      </c>
    </row>
    <row r="4">
      <c r="A4" s="3" t="inlineStr">
        <is>
          <t>Line</t>
        </is>
      </c>
      <c r="B4" s="3" t="inlineStr">
        <is>
          <t>Bear</t>
        </is>
      </c>
      <c r="C4" s="3" t="inlineStr">
        <is>
          <t>Base</t>
        </is>
      </c>
      <c r="D4" s="3" t="inlineStr">
        <is>
          <t>Bull</t>
        </is>
      </c>
      <c r="E4" s="3" t="inlineStr">
        <is>
          <t>Prob-weighted</t>
        </is>
      </c>
    </row>
    <row r="5">
      <c r="A5" t="inlineStr">
        <is>
          <t>Probability</t>
        </is>
      </c>
      <c r="B5" s="4">
        <f>Scenarios!B28</f>
        <v/>
      </c>
      <c r="C5" s="4">
        <f>Scenarios!B55</f>
        <v/>
      </c>
      <c r="D5" s="4">
        <f>Scenarios!B82</f>
        <v/>
      </c>
    </row>
    <row r="6">
      <c r="A6" t="inlineStr">
        <is>
          <t>Exit multiple (x)</t>
        </is>
      </c>
      <c r="B6" s="5">
        <f>Scenarios!B20</f>
        <v/>
      </c>
      <c r="C6" s="5">
        <f>Scenarios!B47</f>
        <v/>
      </c>
      <c r="D6" s="5">
        <f>Scenarios!B74</f>
        <v/>
      </c>
    </row>
    <row r="7">
      <c r="A7" t="inlineStr">
        <is>
          <t>5-yr mean EBITDA (JPY mn)</t>
        </is>
      </c>
      <c r="B7" s="6">
        <f>Scenarios!B19</f>
        <v/>
      </c>
      <c r="C7" s="6">
        <f>Scenarios!B46</f>
        <v/>
      </c>
      <c r="D7" s="6">
        <f>Scenarios!B73</f>
        <v/>
      </c>
      <c r="E7" s="6">
        <f>SUMPRODUCT(B5:D5,B7:D7)</f>
        <v/>
      </c>
    </row>
    <row r="8">
      <c r="A8" t="inlineStr">
        <is>
          <t>FY3/30 EBITDA (JPY mn)</t>
        </is>
      </c>
      <c r="B8" s="6">
        <f>Scenarios!E12</f>
        <v/>
      </c>
      <c r="C8" s="6">
        <f>Scenarios!E39</f>
        <v/>
      </c>
      <c r="D8" s="6">
        <f>Scenarios!E66</f>
        <v/>
      </c>
      <c r="E8" s="6">
        <f>SUMPRODUCT(B5:D5,B8:D8)</f>
        <v/>
      </c>
    </row>
    <row r="9">
      <c r="A9" t="inlineStr">
        <is>
          <t>Net cash Mar-2030 (JPY mn)</t>
        </is>
      </c>
      <c r="B9" s="6">
        <f>Scenarios!E17</f>
        <v/>
      </c>
      <c r="C9" s="6">
        <f>Scenarios!E44</f>
        <v/>
      </c>
      <c r="D9" s="6">
        <f>Scenarios!E71</f>
        <v/>
      </c>
      <c r="E9" s="6">
        <f>SUMPRODUCT(B5:D5,B9:D9)</f>
        <v/>
      </c>
    </row>
    <row r="10">
      <c r="A10" t="inlineStr">
        <is>
          <t>Value per share at exit</t>
        </is>
      </c>
      <c r="B10" s="6">
        <f>Scenarios!B23</f>
        <v/>
      </c>
      <c r="C10" s="6">
        <f>Scenarios!B50</f>
        <v/>
      </c>
      <c r="D10" s="6">
        <f>Scenarios!B77</f>
        <v/>
      </c>
      <c r="E10" s="6">
        <f>SUMPRODUCT(B5:D5,B10:D10)</f>
        <v/>
      </c>
    </row>
    <row r="11">
      <c r="A11" t="inlineStr">
        <is>
          <t>PV per share at CoE</t>
        </is>
      </c>
      <c r="B11" s="6">
        <f>Scenarios!B26</f>
        <v/>
      </c>
      <c r="C11" s="6">
        <f>Scenarios!B53</f>
        <v/>
      </c>
      <c r="D11" s="6">
        <f>Scenarios!B80</f>
        <v/>
      </c>
      <c r="E11" s="6">
        <f>SUMPRODUCT(B5:D5,B11:D11)</f>
        <v/>
      </c>
    </row>
    <row r="12">
      <c r="A12" t="inlineStr">
        <is>
          <t>IRR from today</t>
        </is>
      </c>
      <c r="B12" s="7">
        <f>Scenarios!B25</f>
        <v/>
      </c>
      <c r="C12" s="7">
        <f>Scenarios!B52</f>
        <v/>
      </c>
      <c r="D12" s="7">
        <f>Scenarios!B79</f>
        <v/>
      </c>
      <c r="E12" s="7">
        <f>((E10+SUM(Inputs!B24:E24))/Inputs!$B$5)^(1/Inputs!$B$16)-1</f>
        <v/>
      </c>
    </row>
    <row r="13">
      <c r="A13" t="inlineStr">
        <is>
          <t>Entry for 20% IRR</t>
        </is>
      </c>
      <c r="B13" s="6">
        <f>Scenarios!B27</f>
        <v/>
      </c>
      <c r="C13" s="6">
        <f>Scenarios!B54</f>
        <v/>
      </c>
      <c r="D13" s="6">
        <f>Scenarios!B81</f>
        <v/>
      </c>
      <c r="E13" s="6">
        <f>SUMPRODUCT(B5:D5,B13:D13)</f>
        <v/>
      </c>
    </row>
    <row r="16">
      <c r="A16" t="inlineStr">
        <is>
          <t>Share price</t>
        </is>
      </c>
      <c r="B16" s="6">
        <f>Inputs!$B$5</f>
        <v/>
      </c>
    </row>
    <row r="17">
      <c r="A17" t="inlineStr">
        <is>
          <t>PW PV vs price</t>
        </is>
      </c>
      <c r="B17" s="4">
        <f>E11/B16-1</f>
        <v/>
      </c>
    </row>
    <row r="18">
      <c r="A18" t="inlineStr">
        <is>
          <t>EV / 5y-mean EBITDA today</t>
        </is>
      </c>
      <c r="B18" s="5">
        <f>Band!F8</f>
        <v/>
      </c>
    </row>
    <row r="19">
      <c r="A19" t="inlineStr">
        <is>
          <t>Own-band median</t>
        </is>
      </c>
      <c r="B19" s="5">
        <f>Band!F6</f>
        <v/>
      </c>
    </row>
    <row r="20">
      <c r="A20" t="inlineStr">
        <is>
          <t>Reverse: exit multiple the price needs for a 0% IRR (Base)</t>
        </is>
      </c>
      <c r="B20" s="5">
        <f>(Inputs!$B$5*Inputs!$B$6-Scenarios!E44)/Scenarios!B46</f>
        <v/>
      </c>
    </row>
    <row r="21">
      <c r="A21" t="inlineStr">
        <is>
          <t>Reverse: exit multiple the price needs for a 20% IRR (Base)</t>
        </is>
      </c>
      <c r="B21" s="5">
        <f>(Inputs!$B$5*(1+Inputs!$B$17)^Inputs!$B$16*Inputs!$B$6-Scenarios!E44)/Scenarios!B46</f>
        <v/>
      </c>
    </row>
    <row r="22">
      <c r="A22" t="inlineStr">
        <is>
          <t>P/B today vs own median (timing check)</t>
        </is>
      </c>
      <c r="B22" s="4">
        <f>Band!G9</f>
        <v/>
      </c>
    </row>
    <row r="24">
      <c r="A24" s="8" t="inlineStr">
        <is>
          <t>Verdict</t>
        </is>
      </c>
      <c r="B24">
        <f>IF(B16&gt;E13,"Above the 20%-IRR entry: wait / avoid on the house method",IF(B16&gt;E11,"Between entry and PW value: hold","Below PW value: buy"))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>
      <c r="A1" s="1" t="inlineStr">
        <is>
          <t>Murata Manufacturing (6981.T): inputs</t>
        </is>
      </c>
    </row>
    <row r="2">
      <c r="A2" s="2" t="inlineStr">
        <is>
          <t>Yellow = input. JPY mn unless stated. Price 2 Oct 2026 close. Sources on the Sources sheet.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Note</t>
        </is>
      </c>
    </row>
    <row r="5">
      <c r="A5" t="inlineStr">
        <is>
          <t>Share price (JPY)</t>
        </is>
      </c>
      <c r="B5" s="9" t="n">
        <v>8467</v>
      </c>
      <c r="C5" t="inlineStr">
        <is>
          <t>Yahoo 2-Oct-2026</t>
        </is>
      </c>
    </row>
    <row r="6">
      <c r="A6" t="inlineStr">
        <is>
          <t>Shares outstanding ex-treasury (mn)</t>
        </is>
      </c>
      <c r="B6" s="9" t="n">
        <v>1820.292</v>
      </c>
      <c r="C6" t="inlineStr">
        <is>
          <t>Fact book 2026, FY3/26 split-adjusted</t>
        </is>
      </c>
    </row>
    <row r="7">
      <c r="A7" t="inlineStr">
        <is>
          <t>Net cash FY3/26</t>
        </is>
      </c>
      <c r="B7" s="9" t="n">
        <v>650441</v>
      </c>
      <c r="C7" t="inlineStr">
        <is>
          <t>Cash 653.7bn less debt 3.3bn, fact book 2026</t>
        </is>
      </c>
    </row>
    <row r="8">
      <c r="A8" t="inlineStr">
        <is>
          <t>FY3/27 operating profit guide</t>
        </is>
      </c>
      <c r="B8" s="9" t="n">
        <v>430000</v>
      </c>
      <c r="C8" t="inlineStr">
        <is>
          <t>Murata 31-Jul-2026 revision</t>
        </is>
      </c>
    </row>
    <row r="9">
      <c r="A9" t="inlineStr">
        <is>
          <t>FY3/27 D&amp;A guide</t>
        </is>
      </c>
      <c r="B9" s="9" t="n">
        <v>178000</v>
      </c>
      <c r="C9" t="inlineStr">
        <is>
          <t>April guide, not revised</t>
        </is>
      </c>
    </row>
    <row r="10">
      <c r="A10" t="inlineStr">
        <is>
          <t>FY3/27 capacitor revenue guide</t>
        </is>
      </c>
      <c r="B10" s="9" t="n">
        <v>1157500</v>
      </c>
      <c r="C10" t="inlineStr">
        <is>
          <t>31-Jul-2026 revision</t>
        </is>
      </c>
    </row>
    <row r="11">
      <c r="A11" t="inlineStr">
        <is>
          <t>FY3/27 total revenue guide</t>
        </is>
      </c>
      <c r="B11" s="9" t="n">
        <v>2110000</v>
      </c>
      <c r="C11" t="inlineStr">
        <is>
          <t>31-Jul-2026 revision</t>
        </is>
      </c>
    </row>
    <row r="12">
      <c r="A12" t="inlineStr">
        <is>
          <t>Other-business EBITDA margin</t>
        </is>
      </c>
      <c r="B12" s="10" t="n">
        <v>0.13</v>
      </c>
      <c r="C12" t="inlineStr">
        <is>
          <t>Derived: FY3/26 EBITDA less capacitors at ~38% [E]</t>
        </is>
      </c>
    </row>
    <row r="13">
      <c r="A13" t="inlineStr">
        <is>
          <t>Drop-through of price on capacitor EBITDA</t>
        </is>
      </c>
      <c r="B13" s="10" t="n">
        <v>0.9</v>
      </c>
      <c r="C13" t="inlineStr">
        <is>
          <t>Assumption: price changes fall almost fully to EBITDA [A]</t>
        </is>
      </c>
    </row>
    <row r="14">
      <c r="A14" t="inlineStr">
        <is>
          <t>Tax + minorities on (EBITDA - D&amp;A)</t>
        </is>
      </c>
      <c r="B14" s="10" t="n">
        <v>0.23</v>
      </c>
      <c r="C14" t="inlineStr">
        <is>
          <t>FY3/26 net income / OP ≈ 0.83, less finance income [E]</t>
        </is>
      </c>
    </row>
    <row r="15">
      <c r="A15" t="inlineStr">
        <is>
          <t>Cost of equity (CAPM)</t>
        </is>
      </c>
      <c r="B15" s="10" t="n">
        <v>0.08</v>
      </c>
      <c r="C15" t="inlineStr">
        <is>
          <t>JGB 10y ~1.6% + 1.0 beta x 6.5% ERP [A]</t>
        </is>
      </c>
    </row>
    <row r="16">
      <c r="A16" t="inlineStr">
        <is>
          <t>Years to exit (to Mar-2030)</t>
        </is>
      </c>
      <c r="B16" s="9" t="n">
        <v>3.5</v>
      </c>
      <c r="C16" t="inlineStr">
        <is>
          <t>Oct-2026 to end FY3/30</t>
        </is>
      </c>
    </row>
    <row r="17">
      <c r="A17" t="inlineStr">
        <is>
          <t>Target IRR for entry</t>
        </is>
      </c>
      <c r="B17" s="10" t="n">
        <v>0.2</v>
      </c>
      <c r="C17" t="inlineStr">
        <is>
          <t>House rule</t>
        </is>
      </c>
    </row>
    <row r="18">
      <c r="A18" t="inlineStr">
        <is>
          <t>EBITDA FY3/26 (actual)</t>
        </is>
      </c>
      <c r="B18">
        <f>History!P7</f>
        <v/>
      </c>
      <c r="C18" t="inlineStr">
        <is>
          <t>Op income + D&amp;A</t>
        </is>
      </c>
    </row>
    <row r="19"/>
    <row r="20">
      <c r="A20" s="8" t="inlineStr">
        <is>
          <t>Forward schedule (all scenarios)</t>
        </is>
      </c>
    </row>
    <row r="21">
      <c r="A21" s="3" t="inlineStr">
        <is>
          <t>Item</t>
        </is>
      </c>
      <c r="B21" s="3" t="inlineStr">
        <is>
          <t>FY3/27</t>
        </is>
      </c>
      <c r="C21" s="3" t="inlineStr">
        <is>
          <t>FY3/28</t>
        </is>
      </c>
      <c r="D21" s="3" t="inlineStr">
        <is>
          <t>FY3/29</t>
        </is>
      </c>
      <c r="E21" s="3" t="inlineStr">
        <is>
          <t>FY3/30</t>
        </is>
      </c>
      <c r="F21" s="3" t="inlineStr">
        <is>
          <t>Note</t>
        </is>
      </c>
    </row>
    <row r="22">
      <c r="A22" t="inlineStr">
        <is>
          <t>D&amp;A</t>
        </is>
      </c>
      <c r="B22" s="9" t="n">
        <v>178000</v>
      </c>
      <c r="C22" s="9" t="n">
        <v>190000</v>
      </c>
      <c r="D22" s="9" t="n">
        <v>200000</v>
      </c>
      <c r="E22" s="9" t="n">
        <v>205000</v>
      </c>
      <c r="F22" t="inlineStr">
        <is>
          <t>Rises with the new Izumo building [A]</t>
        </is>
      </c>
    </row>
    <row r="23">
      <c r="A23" t="inlineStr">
        <is>
          <t>Capex</t>
        </is>
      </c>
      <c r="B23" s="9" t="n">
        <v>255000</v>
      </c>
      <c r="C23" s="9" t="n">
        <v>240000</v>
      </c>
      <c r="D23" s="9" t="n">
        <v>230000</v>
      </c>
      <c r="E23" s="9" t="n">
        <v>220000</v>
      </c>
      <c r="F23" t="inlineStr">
        <is>
          <t>FY3/27 guide 255bn; then tapering [A]</t>
        </is>
      </c>
    </row>
    <row r="24">
      <c r="A24" t="inlineStr">
        <is>
          <t>DPS (JPY)</t>
        </is>
      </c>
      <c r="B24" s="9" t="n">
        <v>70</v>
      </c>
      <c r="C24" s="9" t="n">
        <v>75</v>
      </c>
      <c r="D24" s="9" t="n">
        <v>80</v>
      </c>
      <c r="E24" s="9" t="n">
        <v>85</v>
      </c>
      <c r="F24" t="inlineStr">
        <is>
          <t>FY3/27 guide 70; +5/yr [A]</t>
        </is>
      </c>
    </row>
    <row r="25"/>
    <row r="26">
      <c r="A26" s="8" t="inlineStr">
        <is>
          <t>Scenario drivers (FY3/28, FY3/29, FY3/30)</t>
        </is>
      </c>
    </row>
    <row r="27">
      <c r="A27" s="3" t="inlineStr">
        <is>
          <t>Driver</t>
        </is>
      </c>
      <c r="B27" s="3" t="inlineStr">
        <is>
          <t>Bear</t>
        </is>
      </c>
      <c r="C27" s="3" t="inlineStr">
        <is>
          <t>Base</t>
        </is>
      </c>
      <c r="D27" s="3" t="inlineStr">
        <is>
          <t>Bull</t>
        </is>
      </c>
      <c r="E27" s="3" t="inlineStr">
        <is>
          <t>Note</t>
        </is>
      </c>
    </row>
    <row r="28">
      <c r="A28" t="inlineStr">
        <is>
          <t>Probability</t>
        </is>
      </c>
      <c r="B28" s="10" t="n">
        <v>0.25</v>
      </c>
      <c r="C28" s="10" t="n">
        <v>0.5</v>
      </c>
      <c r="D28" s="10" t="n">
        <v>0.25</v>
      </c>
      <c r="E28" t="inlineStr">
        <is>
          <t>House convention 25/50/25</t>
        </is>
      </c>
    </row>
    <row r="29">
      <c r="A29" t="inlineStr">
        <is>
          <t>Capacitor volume FY3/28</t>
        </is>
      </c>
      <c r="B29" s="10" t="n">
        <v>0.05</v>
      </c>
      <c r="C29" s="10" t="n">
        <v>0.15</v>
      </c>
      <c r="D29" s="10" t="n">
        <v>0.2</v>
      </c>
      <c r="E29" t="inlineStr">
        <is>
          <t>AI-server units +30%/yr (Murata) vs consumer flat</t>
        </is>
      </c>
    </row>
    <row r="30">
      <c r="A30" t="inlineStr">
        <is>
          <t>Capacitor volume FY3/29</t>
        </is>
      </c>
      <c r="B30" s="10" t="n">
        <v>-0.08</v>
      </c>
      <c r="C30" s="10" t="n">
        <v>0.08</v>
      </c>
      <c r="D30" s="10" t="n">
        <v>0.12</v>
      </c>
      <c r="E30" t="inlineStr">
        <is>
          <t>Bear = 2019-style destock</t>
        </is>
      </c>
    </row>
    <row r="31">
      <c r="A31" t="inlineStr">
        <is>
          <t>Capacitor volume FY3/30</t>
        </is>
      </c>
      <c r="B31" s="10" t="n">
        <v>0.02</v>
      </c>
      <c r="C31" s="10" t="n">
        <v>-0.02</v>
      </c>
      <c r="D31" s="10" t="n">
        <v>0.05</v>
      </c>
      <c r="E31" t="inlineStr"/>
    </row>
    <row r="32">
      <c r="A32" t="inlineStr">
        <is>
          <t>Capacitor price FY3/28</t>
        </is>
      </c>
      <c r="B32" s="10" t="n">
        <v>-0.03</v>
      </c>
      <c r="C32" s="10" t="n">
        <v>0.03</v>
      </c>
      <c r="D32" s="10" t="n">
        <v>0.1</v>
      </c>
      <c r="E32" t="inlineStr">
        <is>
          <t>Bull = Murata joins SEMCO/Yageo hikes</t>
        </is>
      </c>
    </row>
    <row r="33">
      <c r="A33" t="inlineStr">
        <is>
          <t>Capacitor price FY3/29</t>
        </is>
      </c>
      <c r="B33" s="10" t="n">
        <v>-0.1</v>
      </c>
      <c r="C33" s="10" t="n">
        <v>0.01</v>
      </c>
      <c r="D33" s="10" t="n">
        <v>0.03</v>
      </c>
      <c r="E33" t="inlineStr">
        <is>
          <t>Bear = 2019 ASP -15%/qtr at Yageo</t>
        </is>
      </c>
    </row>
    <row r="34">
      <c r="A34" t="inlineStr">
        <is>
          <t>Capacitor price FY3/30</t>
        </is>
      </c>
      <c r="B34" s="10" t="n">
        <v>-0.03</v>
      </c>
      <c r="C34" s="10" t="n">
        <v>-0.05</v>
      </c>
      <c r="D34" s="10" t="n">
        <v>-0.02</v>
      </c>
      <c r="E34" t="inlineStr">
        <is>
          <t>Normal annual price erosion returns</t>
        </is>
      </c>
    </row>
    <row r="35">
      <c r="A35" t="inlineStr">
        <is>
          <t>Other revenue growth p.a.</t>
        </is>
      </c>
      <c r="B35" s="10" t="n">
        <v>0.02</v>
      </c>
      <c r="C35" s="10" t="n">
        <v>0.03</v>
      </c>
      <c r="D35" s="10" t="n">
        <v>0.04</v>
      </c>
      <c r="E35" t="inlineStr">
        <is>
          <t>RF modules, inductors, batteries</t>
        </is>
      </c>
    </row>
    <row r="36">
      <c r="A36" t="inlineStr">
        <is>
          <t>Exit EV / 5-yr-mean EBITDA (x)</t>
        </is>
      </c>
      <c r="B36" s="5">
        <f>Band!$F$5</f>
        <v/>
      </c>
      <c r="C36">
        <f>Band!$F$6</f>
        <v/>
      </c>
      <c r="D36">
        <f>Band!$F$7</f>
        <v/>
      </c>
      <c r="E36" t="inlineStr">
        <is>
          <t>Own band p25 / median / p75, May-2016 to now</t>
        </is>
      </c>
    </row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Murata: 15 years of history (FYE March, JPY mn)</t>
        </is>
      </c>
    </row>
    <row r="2">
      <c r="A2" s="2" t="inlineStr">
        <is>
          <t>Murata fact books 2022/2024/2026. US GAAP to FY3/23, IFRS from FY3/24 (FY3/23 shown IFRS-restated where available).</t>
        </is>
      </c>
    </row>
    <row r="3">
      <c r="A3" s="3" t="inlineStr">
        <is>
          <t>Metric</t>
        </is>
      </c>
      <c r="B3" s="3" t="inlineStr">
        <is>
          <t>FY3/2012</t>
        </is>
      </c>
      <c r="C3" s="3" t="inlineStr">
        <is>
          <t>FY3/2013</t>
        </is>
      </c>
      <c r="D3" s="3" t="inlineStr">
        <is>
          <t>FY3/2014</t>
        </is>
      </c>
      <c r="E3" s="3" t="inlineStr">
        <is>
          <t>FY3/2015</t>
        </is>
      </c>
      <c r="F3" s="3" t="inlineStr">
        <is>
          <t>FY3/2016</t>
        </is>
      </c>
      <c r="G3" s="3" t="inlineStr">
        <is>
          <t>FY3/2017</t>
        </is>
      </c>
      <c r="H3" s="3" t="inlineStr">
        <is>
          <t>FY3/2018</t>
        </is>
      </c>
      <c r="I3" s="3" t="inlineStr">
        <is>
          <t>FY3/2019</t>
        </is>
      </c>
      <c r="J3" s="3" t="inlineStr">
        <is>
          <t>FY3/2020</t>
        </is>
      </c>
      <c r="K3" s="3" t="inlineStr">
        <is>
          <t>FY3/2021</t>
        </is>
      </c>
      <c r="L3" s="3" t="inlineStr">
        <is>
          <t>FY3/2022</t>
        </is>
      </c>
      <c r="M3" s="3" t="inlineStr">
        <is>
          <t>FY3/2023</t>
        </is>
      </c>
      <c r="N3" s="3" t="inlineStr">
        <is>
          <t>FY3/2024</t>
        </is>
      </c>
      <c r="O3" s="3" t="inlineStr">
        <is>
          <t>FY3/2025</t>
        </is>
      </c>
      <c r="P3" s="3" t="inlineStr">
        <is>
          <t>FY3/2026</t>
        </is>
      </c>
    </row>
    <row r="4">
      <c r="A4" t="inlineStr">
        <is>
          <t>Revenue</t>
        </is>
      </c>
      <c r="B4" s="6" t="n">
        <v>584662</v>
      </c>
      <c r="C4" s="6" t="n">
        <v>681021</v>
      </c>
      <c r="D4" s="6" t="n">
        <v>846716</v>
      </c>
      <c r="E4" s="6" t="n">
        <v>1043542</v>
      </c>
      <c r="F4" s="6" t="n">
        <v>1210841</v>
      </c>
      <c r="G4" s="6" t="n">
        <v>1135524</v>
      </c>
      <c r="H4" s="6" t="n">
        <v>1371842</v>
      </c>
      <c r="I4" s="6" t="n">
        <v>1575026</v>
      </c>
      <c r="J4" s="6" t="n">
        <v>1534045</v>
      </c>
      <c r="K4" s="6" t="n">
        <v>1630193</v>
      </c>
      <c r="L4" s="6" t="n">
        <v>1812521</v>
      </c>
      <c r="M4" s="6" t="n">
        <v>1686796</v>
      </c>
      <c r="N4" s="6" t="n">
        <v>1640158</v>
      </c>
      <c r="O4" s="6" t="n">
        <v>1743352</v>
      </c>
      <c r="P4" s="6" t="n">
        <v>1830856</v>
      </c>
    </row>
    <row r="5">
      <c r="A5" t="inlineStr">
        <is>
          <t>Operating income</t>
        </is>
      </c>
      <c r="B5" s="6" t="n">
        <v>44973</v>
      </c>
      <c r="C5" s="6" t="n">
        <v>58636</v>
      </c>
      <c r="D5" s="6" t="n">
        <v>125891</v>
      </c>
      <c r="E5" s="6" t="n">
        <v>214535</v>
      </c>
      <c r="F5" s="6" t="n">
        <v>275406</v>
      </c>
      <c r="G5" s="6" t="n">
        <v>201215</v>
      </c>
      <c r="H5" s="6" t="n">
        <v>163254</v>
      </c>
      <c r="I5" s="6" t="n">
        <v>266807</v>
      </c>
      <c r="J5" s="6" t="n">
        <v>253247</v>
      </c>
      <c r="K5" s="6" t="n">
        <v>313240</v>
      </c>
      <c r="L5" s="6" t="n">
        <v>424060</v>
      </c>
      <c r="M5" s="6" t="n">
        <v>297887</v>
      </c>
      <c r="N5" s="6" t="n">
        <v>215447</v>
      </c>
      <c r="O5" s="6" t="n">
        <v>279702</v>
      </c>
      <c r="P5" s="6" t="n">
        <v>281835</v>
      </c>
    </row>
    <row r="6">
      <c r="A6" t="inlineStr">
        <is>
          <t>D&amp;A</t>
        </is>
      </c>
      <c r="B6" s="6" t="n">
        <v>61008</v>
      </c>
      <c r="C6" s="6" t="n">
        <v>72323</v>
      </c>
      <c r="D6" s="6" t="n">
        <v>76884</v>
      </c>
      <c r="E6" s="6" t="n">
        <v>84935</v>
      </c>
      <c r="F6" s="6" t="n">
        <v>99105</v>
      </c>
      <c r="G6" s="6" t="n">
        <v>113523</v>
      </c>
      <c r="H6" s="6" t="n">
        <v>141625</v>
      </c>
      <c r="I6" s="6" t="n">
        <v>124419</v>
      </c>
      <c r="J6" s="6" t="n">
        <v>140267</v>
      </c>
      <c r="K6" s="6" t="n">
        <v>143074</v>
      </c>
      <c r="L6" s="6" t="n">
        <v>155583</v>
      </c>
      <c r="M6" s="6" t="n">
        <v>169618</v>
      </c>
      <c r="N6" s="6" t="n">
        <v>175873</v>
      </c>
      <c r="O6" s="6" t="n">
        <v>173335</v>
      </c>
      <c r="P6" s="6" t="n">
        <v>178212</v>
      </c>
    </row>
    <row r="7">
      <c r="A7" t="inlineStr">
        <is>
          <t>EBITDA</t>
        </is>
      </c>
      <c r="B7" s="6">
        <f>B5+B6</f>
        <v/>
      </c>
      <c r="C7" s="6">
        <f>C5+C6</f>
        <v/>
      </c>
      <c r="D7" s="6">
        <f>D5+D6</f>
        <v/>
      </c>
      <c r="E7" s="6">
        <f>E5+E6</f>
        <v/>
      </c>
      <c r="F7" s="6">
        <f>F5+F6</f>
        <v/>
      </c>
      <c r="G7" s="6">
        <f>G5+G6</f>
        <v/>
      </c>
      <c r="H7" s="6">
        <f>H5+H6</f>
        <v/>
      </c>
      <c r="I7" s="6">
        <f>I5+I6</f>
        <v/>
      </c>
      <c r="J7" s="6">
        <f>J5+J6</f>
        <v/>
      </c>
      <c r="K7" s="6">
        <f>K5+K6</f>
        <v/>
      </c>
      <c r="L7" s="6">
        <f>L5+L6</f>
        <v/>
      </c>
      <c r="M7" s="6">
        <f>M5+M6</f>
        <v/>
      </c>
      <c r="N7" s="6">
        <f>N5+N6</f>
        <v/>
      </c>
      <c r="O7" s="6">
        <f>O5+O6</f>
        <v/>
      </c>
      <c r="P7" s="6">
        <f>P5+P6</f>
        <v/>
      </c>
    </row>
    <row r="8">
      <c r="A8" t="inlineStr">
        <is>
          <t>EBITDA margin</t>
        </is>
      </c>
      <c r="B8" s="7">
        <f>B7/B4</f>
        <v/>
      </c>
      <c r="C8" s="7">
        <f>C7/C4</f>
        <v/>
      </c>
      <c r="D8" s="7">
        <f>D7/D4</f>
        <v/>
      </c>
      <c r="E8" s="7">
        <f>E7/E4</f>
        <v/>
      </c>
      <c r="F8" s="7">
        <f>F7/F4</f>
        <v/>
      </c>
      <c r="G8" s="7">
        <f>G7/G4</f>
        <v/>
      </c>
      <c r="H8" s="7">
        <f>H7/H4</f>
        <v/>
      </c>
      <c r="I8" s="7">
        <f>I7/I4</f>
        <v/>
      </c>
      <c r="J8" s="7">
        <f>J7/J4</f>
        <v/>
      </c>
      <c r="K8" s="7">
        <f>K7/K4</f>
        <v/>
      </c>
      <c r="L8" s="7">
        <f>L7/L4</f>
        <v/>
      </c>
      <c r="M8" s="7">
        <f>M7/M4</f>
        <v/>
      </c>
      <c r="N8" s="7">
        <f>N7/N4</f>
        <v/>
      </c>
      <c r="O8" s="7">
        <f>O7/O4</f>
        <v/>
      </c>
      <c r="P8" s="7">
        <f>P7/P4</f>
        <v/>
      </c>
    </row>
    <row r="9">
      <c r="A9" t="inlineStr">
        <is>
          <t>5-yr mean EBITDA</t>
        </is>
      </c>
      <c r="B9" s="6" t="n"/>
      <c r="C9" s="6" t="n"/>
      <c r="D9" s="6" t="n"/>
      <c r="E9" s="6" t="n"/>
      <c r="F9" s="6">
        <f>AVERAGE(B7:F7)</f>
        <v/>
      </c>
      <c r="G9" s="6">
        <f>AVERAGE(C7:G7)</f>
        <v/>
      </c>
      <c r="H9" s="6">
        <f>AVERAGE(D7:H7)</f>
        <v/>
      </c>
      <c r="I9" s="6">
        <f>AVERAGE(E7:I7)</f>
        <v/>
      </c>
      <c r="J9" s="6">
        <f>AVERAGE(F7:J7)</f>
        <v/>
      </c>
      <c r="K9" s="6">
        <f>AVERAGE(G7:K7)</f>
        <v/>
      </c>
      <c r="L9" s="6">
        <f>AVERAGE(H7:L7)</f>
        <v/>
      </c>
      <c r="M9" s="6">
        <f>AVERAGE(I7:M7)</f>
        <v/>
      </c>
      <c r="N9" s="6">
        <f>AVERAGE(J7:N7)</f>
        <v/>
      </c>
      <c r="O9" s="6">
        <f>AVERAGE(K7:O7)</f>
        <v/>
      </c>
      <c r="P9" s="6">
        <f>AVERAGE(L7:P7)</f>
        <v/>
      </c>
    </row>
    <row r="10">
      <c r="A10" t="inlineStr">
        <is>
          <t>Capacitor revenue</t>
        </is>
      </c>
      <c r="B10" s="6" t="n">
        <v>208386</v>
      </c>
      <c r="C10" s="6" t="n">
        <v>228719</v>
      </c>
      <c r="D10" s="6" t="n">
        <v>276574</v>
      </c>
      <c r="E10" s="6" t="n">
        <v>334272</v>
      </c>
      <c r="F10" s="6" t="n">
        <v>367319</v>
      </c>
      <c r="G10" s="6" t="n">
        <v>369488</v>
      </c>
      <c r="H10" s="6" t="n">
        <v>449801</v>
      </c>
      <c r="I10" s="6" t="n">
        <v>574230</v>
      </c>
      <c r="J10" s="6" t="n">
        <v>559438</v>
      </c>
      <c r="K10" s="6" t="n">
        <v>626546</v>
      </c>
      <c r="L10" s="6" t="n">
        <v>788539</v>
      </c>
      <c r="M10" s="6" t="n">
        <v>738841</v>
      </c>
      <c r="N10" s="6" t="n">
        <v>753520</v>
      </c>
      <c r="O10" s="6" t="n">
        <v>831845</v>
      </c>
      <c r="P10" s="6" t="n">
        <v>936418</v>
      </c>
    </row>
    <row r="11">
      <c r="A11" t="inlineStr">
        <is>
          <t>Capacitor share of revenue</t>
        </is>
      </c>
      <c r="B11" s="7">
        <f>B10/B4</f>
        <v/>
      </c>
      <c r="C11" s="7">
        <f>C10/C4</f>
        <v/>
      </c>
      <c r="D11" s="7">
        <f>D10/D4</f>
        <v/>
      </c>
      <c r="E11" s="7">
        <f>E10/E4</f>
        <v/>
      </c>
      <c r="F11" s="7">
        <f>F10/F4</f>
        <v/>
      </c>
      <c r="G11" s="7">
        <f>G10/G4</f>
        <v/>
      </c>
      <c r="H11" s="7">
        <f>H10/H4</f>
        <v/>
      </c>
      <c r="I11" s="7">
        <f>I10/I4</f>
        <v/>
      </c>
      <c r="J11" s="7">
        <f>J10/J4</f>
        <v/>
      </c>
      <c r="K11" s="7">
        <f>K10/K4</f>
        <v/>
      </c>
      <c r="L11" s="7">
        <f>L10/L4</f>
        <v/>
      </c>
      <c r="M11" s="7">
        <f>M10/M4</f>
        <v/>
      </c>
      <c r="N11" s="7">
        <f>N10/N4</f>
        <v/>
      </c>
      <c r="O11" s="7">
        <f>O10/O4</f>
        <v/>
      </c>
      <c r="P11" s="7">
        <f>P10/P4</f>
        <v/>
      </c>
    </row>
    <row r="12">
      <c r="A12" t="inlineStr">
        <is>
          <t>Net income</t>
        </is>
      </c>
      <c r="B12" s="6" t="n">
        <v>30807</v>
      </c>
      <c r="C12" s="6" t="n">
        <v>42386</v>
      </c>
      <c r="D12" s="6" t="n">
        <v>93191</v>
      </c>
      <c r="E12" s="6" t="n">
        <v>167711</v>
      </c>
      <c r="F12" s="6" t="n">
        <v>203776</v>
      </c>
      <c r="G12" s="6" t="n">
        <v>156060</v>
      </c>
      <c r="H12" s="6" t="n">
        <v>146086</v>
      </c>
      <c r="I12" s="6" t="n">
        <v>206930</v>
      </c>
      <c r="J12" s="6" t="n">
        <v>183012</v>
      </c>
      <c r="K12" s="6" t="n">
        <v>237057</v>
      </c>
      <c r="L12" s="6" t="n">
        <v>314124</v>
      </c>
      <c r="M12" s="6" t="n">
        <v>243946</v>
      </c>
      <c r="N12" s="6" t="n">
        <v>180838</v>
      </c>
      <c r="O12" s="6" t="n">
        <v>233818</v>
      </c>
      <c r="P12" s="6" t="n">
        <v>233920</v>
      </c>
    </row>
    <row r="13">
      <c r="A13" t="inlineStr">
        <is>
          <t>Capex</t>
        </is>
      </c>
      <c r="B13" s="6" t="n">
        <v>68445</v>
      </c>
      <c r="C13" s="6" t="n">
        <v>77662</v>
      </c>
      <c r="D13" s="6" t="n">
        <v>68197</v>
      </c>
      <c r="E13" s="6" t="n">
        <v>101184</v>
      </c>
      <c r="F13" s="6" t="n">
        <v>172540</v>
      </c>
      <c r="G13" s="6" t="n">
        <v>158579</v>
      </c>
      <c r="H13" s="6" t="n">
        <v>306608</v>
      </c>
      <c r="I13" s="6" t="n">
        <v>291581</v>
      </c>
      <c r="J13" s="6" t="n">
        <v>281599</v>
      </c>
      <c r="K13" s="6" t="n">
        <v>196660</v>
      </c>
      <c r="L13" s="6" t="n">
        <v>152786</v>
      </c>
      <c r="M13" s="6" t="n">
        <v>207985</v>
      </c>
      <c r="N13" s="6" t="n">
        <v>219531</v>
      </c>
      <c r="O13" s="6" t="n">
        <v>180471</v>
      </c>
      <c r="P13" s="6" t="n">
        <v>247778</v>
      </c>
    </row>
    <row r="14">
      <c r="A14" t="inlineStr">
        <is>
          <t>Cash</t>
        </is>
      </c>
      <c r="B14" s="6" t="n">
        <v>65302</v>
      </c>
      <c r="C14" s="6" t="n">
        <v>90068</v>
      </c>
      <c r="D14" s="6" t="n">
        <v>118884</v>
      </c>
      <c r="E14" s="6" t="n">
        <v>212936</v>
      </c>
      <c r="F14" s="6" t="n">
        <v>212570</v>
      </c>
      <c r="G14" s="6" t="n">
        <v>239184</v>
      </c>
      <c r="H14" s="6" t="n">
        <v>187910</v>
      </c>
      <c r="I14" s="6" t="n">
        <v>217805</v>
      </c>
      <c r="J14" s="6" t="n">
        <v>302320</v>
      </c>
      <c r="K14" s="6" t="n">
        <v>407699</v>
      </c>
      <c r="L14" s="6" t="n">
        <v>512072</v>
      </c>
      <c r="M14" s="6" t="n">
        <v>469406</v>
      </c>
      <c r="N14" s="6" t="n">
        <v>622007</v>
      </c>
      <c r="O14" s="6" t="n">
        <v>625148</v>
      </c>
      <c r="P14" s="6" t="n">
        <v>653701</v>
      </c>
    </row>
    <row r="15">
      <c r="A15" t="inlineStr">
        <is>
          <t>Interest-bearing debt</t>
        </is>
      </c>
      <c r="B15" s="6" t="n">
        <v>37196</v>
      </c>
      <c r="C15" s="6" t="n">
        <v>55605</v>
      </c>
      <c r="D15" s="6" t="n">
        <v>57129</v>
      </c>
      <c r="E15" s="6" t="n">
        <v>25868</v>
      </c>
      <c r="F15" s="6" t="n">
        <v>9747</v>
      </c>
      <c r="G15" s="6" t="n">
        <v>46663</v>
      </c>
      <c r="H15" s="6" t="n">
        <v>14487</v>
      </c>
      <c r="I15" s="6" t="n">
        <v>123614</v>
      </c>
      <c r="J15" s="6" t="n">
        <v>201474</v>
      </c>
      <c r="K15" s="6" t="n">
        <v>150757</v>
      </c>
      <c r="L15" s="6" t="n">
        <v>111078</v>
      </c>
      <c r="M15" s="6" t="n">
        <v>111998</v>
      </c>
      <c r="N15" s="6" t="n">
        <v>52836</v>
      </c>
      <c r="O15" s="6" t="n">
        <v>2437</v>
      </c>
      <c r="P15" s="6" t="n">
        <v>3260</v>
      </c>
    </row>
    <row r="16">
      <c r="A16" t="inlineStr">
        <is>
          <t>Net cash</t>
        </is>
      </c>
      <c r="B16" s="6">
        <f>B14-B15</f>
        <v/>
      </c>
      <c r="C16" s="6">
        <f>C14-C15</f>
        <v/>
      </c>
      <c r="D16" s="6">
        <f>D14-D15</f>
        <v/>
      </c>
      <c r="E16" s="6">
        <f>E14-E15</f>
        <v/>
      </c>
      <c r="F16" s="6">
        <f>F14-F15</f>
        <v/>
      </c>
      <c r="G16" s="6">
        <f>G14-G15</f>
        <v/>
      </c>
      <c r="H16" s="6">
        <f>H14-H15</f>
        <v/>
      </c>
      <c r="I16" s="6">
        <f>I14-I15</f>
        <v/>
      </c>
      <c r="J16" s="6">
        <f>J14-J15</f>
        <v/>
      </c>
      <c r="K16" s="6">
        <f>K14-K15</f>
        <v/>
      </c>
      <c r="L16" s="6">
        <f>L14-L15</f>
        <v/>
      </c>
      <c r="M16" s="6">
        <f>M14-M15</f>
        <v/>
      </c>
      <c r="N16" s="6">
        <f>N14-N15</f>
        <v/>
      </c>
      <c r="O16" s="6">
        <f>O14-O15</f>
        <v/>
      </c>
      <c r="P16" s="6">
        <f>P14-P15</f>
        <v/>
      </c>
    </row>
    <row r="17">
      <c r="A17" t="inlineStr">
        <is>
          <t>Shares ex-treasury (mn)</t>
        </is>
      </c>
      <c r="B17" s="6" t="n">
        <v>1899.695556</v>
      </c>
      <c r="C17" s="6" t="n">
        <v>1899.675567</v>
      </c>
      <c r="D17" s="6" t="n">
        <v>1905.369498</v>
      </c>
      <c r="E17" s="6" t="n">
        <v>1905.344334</v>
      </c>
      <c r="F17" s="6" t="n">
        <v>1905.332472</v>
      </c>
      <c r="G17" s="6" t="n">
        <v>1914.644574</v>
      </c>
      <c r="H17" s="6" t="n">
        <v>1919.259468</v>
      </c>
      <c r="I17" s="6" t="n">
        <v>1919.310066</v>
      </c>
      <c r="J17" s="6" t="n">
        <v>1919.389296</v>
      </c>
      <c r="K17" s="6" t="n">
        <v>1919.446389</v>
      </c>
      <c r="L17" s="6" t="n">
        <v>1919.495244</v>
      </c>
      <c r="M17" s="6" t="n">
        <v>1889.170662</v>
      </c>
      <c r="N17" s="6" t="n">
        <v>1889.233361</v>
      </c>
      <c r="O17" s="6" t="n">
        <v>1862.36105</v>
      </c>
      <c r="P17" s="6" t="n">
        <v>1820.292151</v>
      </c>
    </row>
    <row r="18">
      <c r="A18" t="inlineStr">
        <is>
          <t>DPS (JPY, split-adj)</t>
        </is>
      </c>
      <c r="B18" s="6" t="n">
        <v>11.11</v>
      </c>
      <c r="C18" s="6" t="n">
        <v>11.11</v>
      </c>
      <c r="D18" s="6" t="n">
        <v>14.44</v>
      </c>
      <c r="E18" s="6" t="n">
        <v>20</v>
      </c>
      <c r="F18" s="6" t="n">
        <v>23.33</v>
      </c>
      <c r="G18" s="6" t="n">
        <v>24.44</v>
      </c>
      <c r="H18" s="6" t="n">
        <v>28.89</v>
      </c>
      <c r="I18" s="6" t="n">
        <v>31.11</v>
      </c>
      <c r="J18" s="6" t="n">
        <v>32.33</v>
      </c>
      <c r="K18" s="6" t="n">
        <v>38.33</v>
      </c>
      <c r="L18" s="6" t="n">
        <v>43.33</v>
      </c>
      <c r="M18" s="6" t="n">
        <v>50</v>
      </c>
      <c r="N18" s="6" t="n">
        <v>52</v>
      </c>
      <c r="O18" s="6" t="n">
        <v>57</v>
      </c>
      <c r="P18" s="6" t="n">
        <v>65</v>
      </c>
    </row>
    <row r="19">
      <c r="A19" t="inlineStr">
        <is>
          <t>Equity (parent)</t>
        </is>
      </c>
      <c r="B19" s="6" t="n">
        <v>808542</v>
      </c>
      <c r="C19" s="6" t="n">
        <v>860963</v>
      </c>
      <c r="D19" s="6" t="n">
        <v>955760</v>
      </c>
      <c r="E19" s="6" t="n">
        <v>1123090</v>
      </c>
      <c r="F19" s="6" t="n">
        <v>1229159</v>
      </c>
      <c r="G19" s="6" t="n">
        <v>1354819</v>
      </c>
      <c r="H19" s="6" t="n">
        <v>1456600</v>
      </c>
      <c r="I19" s="6" t="n">
        <v>1603976</v>
      </c>
      <c r="J19" s="6" t="n">
        <v>1694104</v>
      </c>
      <c r="K19" s="6" t="n">
        <v>1920805</v>
      </c>
      <c r="L19" s="6" t="n">
        <v>2263596</v>
      </c>
      <c r="M19" s="6" t="n">
        <v>2402511</v>
      </c>
      <c r="N19" s="6" t="n">
        <v>2556147</v>
      </c>
      <c r="O19" s="6" t="n">
        <v>2580805</v>
      </c>
      <c r="P19" s="6" t="n">
        <v>2718743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5" max="5"/>
  </cols>
  <sheetData>
    <row r="1">
      <c r="A1" s="1" t="inlineStr">
        <is>
          <t>Own valuation band: EV / 5-yr-mean EBITDA</t>
        </is>
      </c>
    </row>
    <row r="2">
      <c r="A2" s="2" t="inlineStr">
        <is>
          <t>Monthly close x shares ex-treasury less net cash of the latest reported FY, over the trailing 5-FY mean EBITDA. P/B shown as the timing check.</t>
        </is>
      </c>
    </row>
    <row r="4">
      <c r="A4" s="11" t="inlineStr">
        <is>
          <t>Month</t>
        </is>
      </c>
      <c r="B4" s="11" t="inlineStr">
        <is>
          <t>EV / 5y-mean EBITDA</t>
        </is>
      </c>
      <c r="C4" s="11" t="inlineStr">
        <is>
          <t>P/B</t>
        </is>
      </c>
      <c r="E4" s="11" t="inlineStr">
        <is>
          <t>Statistic</t>
        </is>
      </c>
      <c r="F4" s="11" t="inlineStr">
        <is>
          <t>EV/5y EBITDA</t>
        </is>
      </c>
      <c r="G4" s="11" t="inlineStr">
        <is>
          <t>P/B</t>
        </is>
      </c>
    </row>
    <row r="5">
      <c r="A5" t="inlineStr">
        <is>
          <t>2016-05</t>
        </is>
      </c>
      <c r="B5" s="5" t="n">
        <v>9.91</v>
      </c>
      <c r="C5" s="12" t="n">
        <v>1.96</v>
      </c>
      <c r="E5" t="inlineStr">
        <is>
          <t>p25 (Bear exit)</t>
        </is>
      </c>
      <c r="F5" s="5">
        <f>PERCENTILE(B5:B130,0.25)</f>
        <v/>
      </c>
      <c r="G5" s="12">
        <f>PERCENTILE(C5:C130,0.25)</f>
        <v/>
      </c>
    </row>
    <row r="6">
      <c r="A6" t="inlineStr">
        <is>
          <t>2016-06</t>
        </is>
      </c>
      <c r="B6" s="5" t="n">
        <v>11.28</v>
      </c>
      <c r="C6" s="12" t="n">
        <v>2.21</v>
      </c>
      <c r="E6" t="inlineStr">
        <is>
          <t>Median (Base exit)</t>
        </is>
      </c>
      <c r="F6" s="5">
        <f>MEDIAN(B5:B130)</f>
        <v/>
      </c>
      <c r="G6" s="12">
        <f>MEDIAN(C5:C130)</f>
        <v/>
      </c>
    </row>
    <row r="7">
      <c r="A7" t="inlineStr">
        <is>
          <t>2016-07</t>
        </is>
      </c>
      <c r="B7" s="5" t="n">
        <v>12.31</v>
      </c>
      <c r="C7" s="12" t="n">
        <v>2.39</v>
      </c>
      <c r="E7" t="inlineStr">
        <is>
          <t>p75 (Bull exit)</t>
        </is>
      </c>
      <c r="F7" s="5">
        <f>PERCENTILE(B5:B130,0.75)</f>
        <v/>
      </c>
      <c r="G7" s="12">
        <f>PERCENTILE(C5:C130,0.75)</f>
        <v/>
      </c>
    </row>
    <row r="8">
      <c r="A8" t="inlineStr">
        <is>
          <t>2016-08</t>
        </is>
      </c>
      <c r="B8" s="5" t="n">
        <v>11.47</v>
      </c>
      <c r="C8" s="12" t="n">
        <v>2.24</v>
      </c>
      <c r="E8" t="inlineStr">
        <is>
          <t>Today</t>
        </is>
      </c>
      <c r="F8" s="5">
        <f>B130</f>
        <v/>
      </c>
      <c r="G8" s="12">
        <f>C130</f>
        <v/>
      </c>
    </row>
    <row r="9">
      <c r="A9" t="inlineStr">
        <is>
          <t>2016-09</t>
        </is>
      </c>
      <c r="B9" s="5" t="n">
        <v>13.03</v>
      </c>
      <c r="C9" s="12" t="n">
        <v>2.53</v>
      </c>
      <c r="E9" t="inlineStr">
        <is>
          <t>Today vs median</t>
        </is>
      </c>
      <c r="F9" s="4">
        <f>B130/MEDIAN(B5:B130)-1</f>
        <v/>
      </c>
      <c r="G9" s="4">
        <f>C130/MEDIAN(C5:C130)-1</f>
        <v/>
      </c>
    </row>
    <row r="10">
      <c r="A10" t="inlineStr">
        <is>
          <t>2016-10</t>
        </is>
      </c>
      <c r="B10" s="5" t="n">
        <v>13.75</v>
      </c>
      <c r="C10" s="12" t="n">
        <v>2.66</v>
      </c>
    </row>
    <row r="11">
      <c r="A11" t="inlineStr">
        <is>
          <t>2016-11</t>
        </is>
      </c>
      <c r="B11" s="5" t="n">
        <v>13.96</v>
      </c>
      <c r="C11" s="12" t="n">
        <v>2.7</v>
      </c>
      <c r="E11" s="2" t="inlineStr">
        <is>
          <t>Band excludes nothing: the 2026 spike is inside the sample. Pre-2026 the median is 11.5x.</t>
        </is>
      </c>
    </row>
    <row r="12">
      <c r="A12" t="inlineStr">
        <is>
          <t>2016-12</t>
        </is>
      </c>
      <c r="B12" s="5" t="n">
        <v>13.59</v>
      </c>
      <c r="C12" s="12" t="n">
        <v>2.63</v>
      </c>
    </row>
    <row r="13">
      <c r="A13" t="inlineStr">
        <is>
          <t>2017-01</t>
        </is>
      </c>
      <c r="B13" s="5" t="n">
        <v>14.44</v>
      </c>
      <c r="C13" s="12" t="n">
        <v>2.78</v>
      </c>
    </row>
    <row r="14">
      <c r="A14" t="inlineStr">
        <is>
          <t>2017-02</t>
        </is>
      </c>
      <c r="B14" s="5" t="n">
        <v>14.14</v>
      </c>
      <c r="C14" s="12" t="n">
        <v>2.73</v>
      </c>
    </row>
    <row r="15">
      <c r="A15" t="inlineStr">
        <is>
          <t>2017-03</t>
        </is>
      </c>
      <c r="B15" s="5" t="n">
        <v>13.29</v>
      </c>
      <c r="C15" s="12" t="n">
        <v>2.57</v>
      </c>
    </row>
    <row r="16">
      <c r="A16" t="inlineStr">
        <is>
          <t>2017-04</t>
        </is>
      </c>
      <c r="B16" s="5" t="n">
        <v>13.68</v>
      </c>
      <c r="C16" s="12" t="n">
        <v>2.64</v>
      </c>
    </row>
    <row r="17">
      <c r="A17" t="inlineStr">
        <is>
          <t>2017-05</t>
        </is>
      </c>
      <c r="B17" s="5" t="n">
        <v>13</v>
      </c>
      <c r="C17" s="12" t="n">
        <v>2.68</v>
      </c>
    </row>
    <row r="18">
      <c r="A18" t="inlineStr">
        <is>
          <t>2017-06</t>
        </is>
      </c>
      <c r="B18" s="5" t="n">
        <v>13.09</v>
      </c>
      <c r="C18" s="12" t="n">
        <v>2.7</v>
      </c>
    </row>
    <row r="19">
      <c r="A19" t="inlineStr">
        <is>
          <t>2017-07</t>
        </is>
      </c>
      <c r="B19" s="5" t="n">
        <v>12.82</v>
      </c>
      <c r="C19" s="12" t="n">
        <v>2.64</v>
      </c>
    </row>
    <row r="20">
      <c r="A20" t="inlineStr">
        <is>
          <t>2017-08</t>
        </is>
      </c>
      <c r="B20" s="5" t="n">
        <v>12.58</v>
      </c>
      <c r="C20" s="12" t="n">
        <v>2.6</v>
      </c>
    </row>
    <row r="21">
      <c r="A21" t="inlineStr">
        <is>
          <t>2017-09</t>
        </is>
      </c>
      <c r="B21" s="5" t="n">
        <v>13.5</v>
      </c>
      <c r="C21" s="12" t="n">
        <v>2.78</v>
      </c>
    </row>
    <row r="22">
      <c r="A22" t="inlineStr">
        <is>
          <t>2017-10</t>
        </is>
      </c>
      <c r="B22" s="5" t="n">
        <v>11.47</v>
      </c>
      <c r="C22" s="12" t="n">
        <v>2.38</v>
      </c>
    </row>
    <row r="23">
      <c r="A23" t="inlineStr">
        <is>
          <t>2017-11</t>
        </is>
      </c>
      <c r="B23" s="5" t="n">
        <v>11.43</v>
      </c>
      <c r="C23" s="12" t="n">
        <v>2.37</v>
      </c>
    </row>
    <row r="24">
      <c r="A24" t="inlineStr">
        <is>
          <t>2017-12</t>
        </is>
      </c>
      <c r="B24" s="5" t="n">
        <v>12.23</v>
      </c>
      <c r="C24" s="12" t="n">
        <v>2.53</v>
      </c>
    </row>
    <row r="25">
      <c r="A25" t="inlineStr">
        <is>
          <t>2018-01</t>
        </is>
      </c>
      <c r="B25" s="5" t="n">
        <v>11.33</v>
      </c>
      <c r="C25" s="12" t="n">
        <v>2.35</v>
      </c>
    </row>
    <row r="26">
      <c r="A26" t="inlineStr">
        <is>
          <t>2018-02</t>
        </is>
      </c>
      <c r="B26" s="5" t="n">
        <v>10.99</v>
      </c>
      <c r="C26" s="12" t="n">
        <v>2.29</v>
      </c>
    </row>
    <row r="27">
      <c r="A27" t="inlineStr">
        <is>
          <t>2018-03</t>
        </is>
      </c>
      <c r="B27" s="5" t="n">
        <v>10.41</v>
      </c>
      <c r="C27" s="12" t="n">
        <v>2.17</v>
      </c>
    </row>
    <row r="28">
      <c r="A28" t="inlineStr">
        <is>
          <t>2018-04</t>
        </is>
      </c>
      <c r="B28" s="5" t="n">
        <v>12.29</v>
      </c>
      <c r="C28" s="12" t="n">
        <v>2.54</v>
      </c>
    </row>
    <row r="29">
      <c r="A29" t="inlineStr">
        <is>
          <t>2018-05</t>
        </is>
      </c>
      <c r="B29" s="5" t="n">
        <v>12.69</v>
      </c>
      <c r="C29" s="12" t="n">
        <v>2.73</v>
      </c>
    </row>
    <row r="30">
      <c r="A30" t="inlineStr">
        <is>
          <t>2018-06</t>
        </is>
      </c>
      <c r="B30" s="5" t="n">
        <v>13.32</v>
      </c>
      <c r="C30" s="12" t="n">
        <v>2.85</v>
      </c>
    </row>
    <row r="31">
      <c r="A31" t="inlineStr">
        <is>
          <t>2018-07</t>
        </is>
      </c>
      <c r="B31" s="5" t="n">
        <v>13.09</v>
      </c>
      <c r="C31" s="12" t="n">
        <v>2.81</v>
      </c>
    </row>
    <row r="32">
      <c r="A32" t="inlineStr">
        <is>
          <t>2018-08</t>
        </is>
      </c>
      <c r="B32" s="5" t="n">
        <v>11.87</v>
      </c>
      <c r="C32" s="12" t="n">
        <v>2.56</v>
      </c>
    </row>
    <row r="33">
      <c r="A33" t="inlineStr">
        <is>
          <t>2018-09</t>
        </is>
      </c>
      <c r="B33" s="5" t="n">
        <v>11.65</v>
      </c>
      <c r="C33" s="12" t="n">
        <v>2.51</v>
      </c>
    </row>
    <row r="34">
      <c r="A34" t="inlineStr">
        <is>
          <t>2018-10</t>
        </is>
      </c>
      <c r="B34" s="5" t="n">
        <v>11.76</v>
      </c>
      <c r="C34" s="12" t="n">
        <v>2.53</v>
      </c>
    </row>
    <row r="35">
      <c r="A35" t="inlineStr">
        <is>
          <t>2018-11</t>
        </is>
      </c>
      <c r="B35" s="5" t="n">
        <v>10.08</v>
      </c>
      <c r="C35" s="12" t="n">
        <v>2.19</v>
      </c>
    </row>
    <row r="36">
      <c r="A36" t="inlineStr">
        <is>
          <t>2018-12</t>
        </is>
      </c>
      <c r="B36" s="5" t="n">
        <v>10.41</v>
      </c>
      <c r="C36" s="12" t="n">
        <v>2.26</v>
      </c>
    </row>
    <row r="37">
      <c r="A37" t="inlineStr">
        <is>
          <t>2019-01</t>
        </is>
      </c>
      <c r="B37" s="5" t="n">
        <v>11.77</v>
      </c>
      <c r="C37" s="12" t="n">
        <v>2.54</v>
      </c>
    </row>
    <row r="38">
      <c r="A38" t="inlineStr">
        <is>
          <t>2019-02</t>
        </is>
      </c>
      <c r="B38" s="5" t="n">
        <v>11.2</v>
      </c>
      <c r="C38" s="12" t="n">
        <v>2.42</v>
      </c>
    </row>
    <row r="39">
      <c r="A39" t="inlineStr">
        <is>
          <t>2019-03</t>
        </is>
      </c>
      <c r="B39" s="5" t="n">
        <v>12.16</v>
      </c>
      <c r="C39" s="12" t="n">
        <v>2.62</v>
      </c>
    </row>
    <row r="40">
      <c r="A40" t="inlineStr">
        <is>
          <t>2019-04</t>
        </is>
      </c>
      <c r="B40" s="5" t="n">
        <v>9.48</v>
      </c>
      <c r="C40" s="12" t="n">
        <v>2.07</v>
      </c>
    </row>
    <row r="41">
      <c r="A41" t="inlineStr">
        <is>
          <t>2019-05</t>
        </is>
      </c>
      <c r="B41" s="5" t="n">
        <v>8.91</v>
      </c>
      <c r="C41" s="12" t="n">
        <v>1.93</v>
      </c>
    </row>
    <row r="42">
      <c r="A42" t="inlineStr">
        <is>
          <t>2019-06</t>
        </is>
      </c>
      <c r="B42" s="5" t="n">
        <v>8.92</v>
      </c>
      <c r="C42" s="12" t="n">
        <v>1.93</v>
      </c>
    </row>
    <row r="43">
      <c r="A43" t="inlineStr">
        <is>
          <t>2019-07</t>
        </is>
      </c>
      <c r="B43" s="5" t="n">
        <v>8.19</v>
      </c>
      <c r="C43" s="12" t="n">
        <v>1.78</v>
      </c>
    </row>
    <row r="44">
      <c r="A44" t="inlineStr">
        <is>
          <t>2019-08</t>
        </is>
      </c>
      <c r="B44" s="5" t="n">
        <v>9.56</v>
      </c>
      <c r="C44" s="12" t="n">
        <v>2.07</v>
      </c>
    </row>
    <row r="45">
      <c r="A45" t="inlineStr">
        <is>
          <t>2019-09</t>
        </is>
      </c>
      <c r="B45" s="5" t="n">
        <v>10.85</v>
      </c>
      <c r="C45" s="12" t="n">
        <v>2.34</v>
      </c>
    </row>
    <row r="46">
      <c r="A46" t="inlineStr">
        <is>
          <t>2019-10</t>
        </is>
      </c>
      <c r="B46" s="5" t="n">
        <v>11.77</v>
      </c>
      <c r="C46" s="12" t="n">
        <v>2.53</v>
      </c>
    </row>
    <row r="47">
      <c r="A47" t="inlineStr">
        <is>
          <t>2019-11</t>
        </is>
      </c>
      <c r="B47" s="5" t="n">
        <v>12.53</v>
      </c>
      <c r="C47" s="12" t="n">
        <v>2.69</v>
      </c>
    </row>
    <row r="48">
      <c r="A48" t="inlineStr">
        <is>
          <t>2019-12</t>
        </is>
      </c>
      <c r="B48" s="5" t="n">
        <v>11.73</v>
      </c>
      <c r="C48" s="12" t="n">
        <v>2.52</v>
      </c>
    </row>
    <row r="49">
      <c r="A49" t="inlineStr">
        <is>
          <t>2020-01</t>
        </is>
      </c>
      <c r="B49" s="5" t="n">
        <v>10.58</v>
      </c>
      <c r="C49" s="12" t="n">
        <v>2.28</v>
      </c>
    </row>
    <row r="50">
      <c r="A50" t="inlineStr">
        <is>
          <t>2020-02</t>
        </is>
      </c>
      <c r="B50" s="5" t="n">
        <v>10.11</v>
      </c>
      <c r="C50" s="12" t="n">
        <v>2.18</v>
      </c>
    </row>
    <row r="51">
      <c r="A51" t="inlineStr">
        <is>
          <t>2020-03</t>
        </is>
      </c>
      <c r="B51" s="5" t="n">
        <v>11.15</v>
      </c>
      <c r="C51" s="12" t="n">
        <v>2.4</v>
      </c>
    </row>
    <row r="52">
      <c r="A52" t="inlineStr">
        <is>
          <t>2020-04</t>
        </is>
      </c>
      <c r="B52" s="5" t="n">
        <v>11.14</v>
      </c>
      <c r="C52" s="12" t="n">
        <v>2.4</v>
      </c>
    </row>
    <row r="53">
      <c r="A53" t="inlineStr">
        <is>
          <t>2020-05</t>
        </is>
      </c>
      <c r="B53" s="5" t="n">
        <v>11.07</v>
      </c>
      <c r="C53" s="12" t="n">
        <v>2.39</v>
      </c>
    </row>
    <row r="54">
      <c r="A54" t="inlineStr">
        <is>
          <t>2020-06</t>
        </is>
      </c>
      <c r="B54" s="5" t="n">
        <v>11.6</v>
      </c>
      <c r="C54" s="12" t="n">
        <v>2.5</v>
      </c>
    </row>
    <row r="55">
      <c r="A55" t="inlineStr">
        <is>
          <t>2020-07</t>
        </is>
      </c>
      <c r="B55" s="5" t="n">
        <v>11.01</v>
      </c>
      <c r="C55" s="12" t="n">
        <v>2.37</v>
      </c>
    </row>
    <row r="56">
      <c r="A56" t="inlineStr">
        <is>
          <t>2020-08</t>
        </is>
      </c>
      <c r="B56" s="5" t="n">
        <v>11.9</v>
      </c>
      <c r="C56" s="12" t="n">
        <v>2.56</v>
      </c>
    </row>
    <row r="57">
      <c r="A57" t="inlineStr">
        <is>
          <t>2020-09</t>
        </is>
      </c>
      <c r="B57" s="5" t="n">
        <v>12.78</v>
      </c>
      <c r="C57" s="12" t="n">
        <v>2.74</v>
      </c>
    </row>
    <row r="58">
      <c r="A58" t="inlineStr">
        <is>
          <t>2020-10</t>
        </is>
      </c>
      <c r="B58" s="5" t="n">
        <v>16.13</v>
      </c>
      <c r="C58" s="12" t="n">
        <v>3.45</v>
      </c>
    </row>
    <row r="59">
      <c r="A59" t="inlineStr">
        <is>
          <t>2020-11</t>
        </is>
      </c>
      <c r="B59" s="5" t="n">
        <v>16.48</v>
      </c>
      <c r="C59" s="12" t="n">
        <v>3.52</v>
      </c>
    </row>
    <row r="60">
      <c r="A60" t="inlineStr">
        <is>
          <t>2020-12</t>
        </is>
      </c>
      <c r="B60" s="5" t="n">
        <v>17.8</v>
      </c>
      <c r="C60" s="12" t="n">
        <v>3.8</v>
      </c>
    </row>
    <row r="61">
      <c r="A61" t="inlineStr">
        <is>
          <t>2021-01</t>
        </is>
      </c>
      <c r="B61" s="5" t="n">
        <v>16.05</v>
      </c>
      <c r="C61" s="12" t="n">
        <v>3.43</v>
      </c>
    </row>
    <row r="62">
      <c r="A62" t="inlineStr">
        <is>
          <t>2021-02</t>
        </is>
      </c>
      <c r="B62" s="5" t="n">
        <v>15.62</v>
      </c>
      <c r="C62" s="12" t="n">
        <v>3.34</v>
      </c>
    </row>
    <row r="63">
      <c r="A63" t="inlineStr">
        <is>
          <t>2021-03</t>
        </is>
      </c>
      <c r="B63" s="5" t="n">
        <v>15.37</v>
      </c>
      <c r="C63" s="12" t="n">
        <v>3.29</v>
      </c>
    </row>
    <row r="64">
      <c r="A64" t="inlineStr">
        <is>
          <t>2021-04</t>
        </is>
      </c>
      <c r="B64" s="5" t="n">
        <v>14.6</v>
      </c>
      <c r="C64" s="12" t="n">
        <v>3.13</v>
      </c>
    </row>
    <row r="65">
      <c r="A65" t="inlineStr">
        <is>
          <t>2021-05</t>
        </is>
      </c>
      <c r="B65" s="5" t="n">
        <v>13.89</v>
      </c>
      <c r="C65" s="12" t="n">
        <v>2.83</v>
      </c>
    </row>
    <row r="66">
      <c r="A66" t="inlineStr">
        <is>
          <t>2021-06</t>
        </is>
      </c>
      <c r="B66" s="5" t="n">
        <v>14.85</v>
      </c>
      <c r="C66" s="12" t="n">
        <v>3.01</v>
      </c>
    </row>
    <row r="67">
      <c r="A67" t="inlineStr">
        <is>
          <t>2021-07</t>
        </is>
      </c>
      <c r="B67" s="5" t="n">
        <v>14.99</v>
      </c>
      <c r="C67" s="12" t="n">
        <v>3.04</v>
      </c>
    </row>
    <row r="68">
      <c r="A68" t="inlineStr">
        <is>
          <t>2021-08</t>
        </is>
      </c>
      <c r="B68" s="5" t="n">
        <v>16.43</v>
      </c>
      <c r="C68" s="12" t="n">
        <v>3.32</v>
      </c>
    </row>
    <row r="69">
      <c r="A69" t="inlineStr">
        <is>
          <t>2021-09</t>
        </is>
      </c>
      <c r="B69" s="5" t="n">
        <v>14.19</v>
      </c>
      <c r="C69" s="12" t="n">
        <v>2.88</v>
      </c>
    </row>
    <row r="70">
      <c r="A70" t="inlineStr">
        <is>
          <t>2021-10</t>
        </is>
      </c>
      <c r="B70" s="5" t="n">
        <v>13.72</v>
      </c>
      <c r="C70" s="12" t="n">
        <v>2.79</v>
      </c>
    </row>
    <row r="71">
      <c r="A71" t="inlineStr">
        <is>
          <t>2021-11</t>
        </is>
      </c>
      <c r="B71" s="5" t="n">
        <v>15.05</v>
      </c>
      <c r="C71" s="12" t="n">
        <v>3.05</v>
      </c>
    </row>
    <row r="72">
      <c r="A72" t="inlineStr">
        <is>
          <t>2021-12</t>
        </is>
      </c>
      <c r="B72" s="5" t="n">
        <v>13.99</v>
      </c>
      <c r="C72" s="12" t="n">
        <v>2.84</v>
      </c>
    </row>
    <row r="73">
      <c r="A73" t="inlineStr">
        <is>
          <t>2022-01</t>
        </is>
      </c>
      <c r="B73" s="5" t="n">
        <v>12.7</v>
      </c>
      <c r="C73" s="12" t="n">
        <v>2.59</v>
      </c>
    </row>
    <row r="74">
      <c r="A74" t="inlineStr">
        <is>
          <t>2022-02</t>
        </is>
      </c>
      <c r="B74" s="5" t="n">
        <v>13.27</v>
      </c>
      <c r="C74" s="12" t="n">
        <v>2.7</v>
      </c>
    </row>
    <row r="75">
      <c r="A75" t="inlineStr">
        <is>
          <t>2022-03</t>
        </is>
      </c>
      <c r="B75" s="5" t="n">
        <v>12.71</v>
      </c>
      <c r="C75" s="12" t="n">
        <v>2.6</v>
      </c>
    </row>
    <row r="76">
      <c r="A76" t="inlineStr">
        <is>
          <t>2022-04</t>
        </is>
      </c>
      <c r="B76" s="5" t="n">
        <v>13.58</v>
      </c>
      <c r="C76" s="12" t="n">
        <v>2.76</v>
      </c>
    </row>
    <row r="77">
      <c r="A77" t="inlineStr">
        <is>
          <t>2022-05</t>
        </is>
      </c>
      <c r="B77" s="5" t="n">
        <v>10.19</v>
      </c>
      <c r="C77" s="12" t="n">
        <v>2.09</v>
      </c>
    </row>
    <row r="78">
      <c r="A78" t="inlineStr">
        <is>
          <t>2022-06</t>
        </is>
      </c>
      <c r="B78" s="5" t="n">
        <v>10.72</v>
      </c>
      <c r="C78" s="12" t="n">
        <v>2.19</v>
      </c>
    </row>
    <row r="79">
      <c r="A79" t="inlineStr">
        <is>
          <t>2022-07</t>
        </is>
      </c>
      <c r="B79" s="5" t="n">
        <v>10.43</v>
      </c>
      <c r="C79" s="12" t="n">
        <v>2.14</v>
      </c>
    </row>
    <row r="80">
      <c r="A80" t="inlineStr">
        <is>
          <t>2022-08</t>
        </is>
      </c>
      <c r="B80" s="5" t="n">
        <v>9.039999999999999</v>
      </c>
      <c r="C80" s="12" t="n">
        <v>1.87</v>
      </c>
    </row>
    <row r="81">
      <c r="A81" t="inlineStr">
        <is>
          <t>2022-09</t>
        </is>
      </c>
      <c r="B81" s="5" t="n">
        <v>10.04</v>
      </c>
      <c r="C81" s="12" t="n">
        <v>2.06</v>
      </c>
    </row>
    <row r="82">
      <c r="A82" t="inlineStr">
        <is>
          <t>2022-10</t>
        </is>
      </c>
      <c r="B82" s="5" t="n">
        <v>10.29</v>
      </c>
      <c r="C82" s="12" t="n">
        <v>2.11</v>
      </c>
    </row>
    <row r="83">
      <c r="A83" t="inlineStr">
        <is>
          <t>2022-11</t>
        </is>
      </c>
      <c r="B83" s="5" t="n">
        <v>8.970000000000001</v>
      </c>
      <c r="C83" s="12" t="n">
        <v>1.86</v>
      </c>
    </row>
    <row r="84">
      <c r="A84" t="inlineStr">
        <is>
          <t>2022-12</t>
        </is>
      </c>
      <c r="B84" s="5" t="n">
        <v>10.19</v>
      </c>
      <c r="C84" s="12" t="n">
        <v>2.09</v>
      </c>
    </row>
    <row r="85">
      <c r="A85" t="inlineStr">
        <is>
          <t>2023-01</t>
        </is>
      </c>
      <c r="B85" s="5" t="n">
        <v>10.07</v>
      </c>
      <c r="C85" s="12" t="n">
        <v>2.07</v>
      </c>
    </row>
    <row r="86">
      <c r="A86" t="inlineStr">
        <is>
          <t>2023-02</t>
        </is>
      </c>
      <c r="B86" s="5" t="n">
        <v>11.16</v>
      </c>
      <c r="C86" s="12" t="n">
        <v>2.27</v>
      </c>
    </row>
    <row r="87">
      <c r="A87" t="inlineStr">
        <is>
          <t>2023-03</t>
        </is>
      </c>
      <c r="B87" s="5" t="n">
        <v>10.92</v>
      </c>
      <c r="C87" s="12" t="n">
        <v>2.23</v>
      </c>
    </row>
    <row r="88">
      <c r="A88" t="inlineStr">
        <is>
          <t>2023-04</t>
        </is>
      </c>
      <c r="B88" s="5" t="n">
        <v>11.4</v>
      </c>
      <c r="C88" s="12" t="n">
        <v>2.32</v>
      </c>
    </row>
    <row r="89">
      <c r="A89" t="inlineStr">
        <is>
          <t>2023-05</t>
        </is>
      </c>
      <c r="B89" s="5" t="n">
        <v>10.55</v>
      </c>
      <c r="C89" s="12" t="n">
        <v>2.16</v>
      </c>
    </row>
    <row r="90">
      <c r="A90" t="inlineStr">
        <is>
          <t>2023-06</t>
        </is>
      </c>
      <c r="B90" s="5" t="n">
        <v>10.67</v>
      </c>
      <c r="C90" s="12" t="n">
        <v>2.18</v>
      </c>
    </row>
    <row r="91">
      <c r="A91" t="inlineStr">
        <is>
          <t>2023-07</t>
        </is>
      </c>
      <c r="B91" s="5" t="n">
        <v>10.48</v>
      </c>
      <c r="C91" s="12" t="n">
        <v>2.15</v>
      </c>
    </row>
    <row r="92">
      <c r="A92" t="inlineStr">
        <is>
          <t>2023-08</t>
        </is>
      </c>
      <c r="B92" s="5" t="n">
        <v>10.51</v>
      </c>
      <c r="C92" s="12" t="n">
        <v>2.15</v>
      </c>
    </row>
    <row r="93">
      <c r="A93" t="inlineStr">
        <is>
          <t>2023-09</t>
        </is>
      </c>
      <c r="B93" s="5" t="n">
        <v>9.449999999999999</v>
      </c>
      <c r="C93" s="12" t="n">
        <v>1.95</v>
      </c>
    </row>
    <row r="94">
      <c r="A94" t="inlineStr">
        <is>
          <t>2023-10</t>
        </is>
      </c>
      <c r="B94" s="5" t="n">
        <v>11.12</v>
      </c>
      <c r="C94" s="12" t="n">
        <v>2.27</v>
      </c>
    </row>
    <row r="95">
      <c r="A95" t="inlineStr">
        <is>
          <t>2023-11</t>
        </is>
      </c>
      <c r="B95" s="5" t="n">
        <v>11.57</v>
      </c>
      <c r="C95" s="12" t="n">
        <v>2.35</v>
      </c>
    </row>
    <row r="96">
      <c r="A96" t="inlineStr">
        <is>
          <t>2023-12</t>
        </is>
      </c>
      <c r="B96" s="5" t="n">
        <v>11.67</v>
      </c>
      <c r="C96" s="12" t="n">
        <v>2.37</v>
      </c>
    </row>
    <row r="97">
      <c r="A97" t="inlineStr">
        <is>
          <t>2024-01</t>
        </is>
      </c>
      <c r="B97" s="5" t="n">
        <v>11.7</v>
      </c>
      <c r="C97" s="12" t="n">
        <v>2.38</v>
      </c>
    </row>
    <row r="98">
      <c r="A98" t="inlineStr">
        <is>
          <t>2024-02</t>
        </is>
      </c>
      <c r="B98" s="5" t="n">
        <v>10.85</v>
      </c>
      <c r="C98" s="12" t="n">
        <v>2.21</v>
      </c>
    </row>
    <row r="99">
      <c r="A99" t="inlineStr">
        <is>
          <t>2024-03</t>
        </is>
      </c>
      <c r="B99" s="5" t="n">
        <v>11.2</v>
      </c>
      <c r="C99" s="12" t="n">
        <v>2.28</v>
      </c>
    </row>
    <row r="100">
      <c r="A100" t="inlineStr">
        <is>
          <t>2024-04</t>
        </is>
      </c>
      <c r="B100" s="5" t="n">
        <v>11.46</v>
      </c>
      <c r="C100" s="12" t="n">
        <v>2.33</v>
      </c>
    </row>
    <row r="101">
      <c r="A101" t="inlineStr">
        <is>
          <t>2024-05</t>
        </is>
      </c>
      <c r="B101" s="5" t="n">
        <v>12.47</v>
      </c>
      <c r="C101" s="12" t="n">
        <v>2.46</v>
      </c>
    </row>
    <row r="102">
      <c r="A102" t="inlineStr">
        <is>
          <t>2024-06</t>
        </is>
      </c>
      <c r="B102" s="5" t="n">
        <v>12.59</v>
      </c>
      <c r="C102" s="12" t="n">
        <v>2.48</v>
      </c>
    </row>
    <row r="103">
      <c r="A103" t="inlineStr">
        <is>
          <t>2024-07</t>
        </is>
      </c>
      <c r="B103" s="5" t="n">
        <v>11.28</v>
      </c>
      <c r="C103" s="12" t="n">
        <v>2.24</v>
      </c>
    </row>
    <row r="104">
      <c r="A104" t="inlineStr">
        <is>
          <t>2024-08</t>
        </is>
      </c>
      <c r="B104" s="5" t="n">
        <v>10.34</v>
      </c>
      <c r="C104" s="12" t="n">
        <v>2.07</v>
      </c>
    </row>
    <row r="105">
      <c r="A105" t="inlineStr">
        <is>
          <t>2024-09</t>
        </is>
      </c>
      <c r="B105" s="5" t="n">
        <v>9.93</v>
      </c>
      <c r="C105" s="12" t="n">
        <v>2</v>
      </c>
    </row>
    <row r="106">
      <c r="A106" t="inlineStr">
        <is>
          <t>2024-10</t>
        </is>
      </c>
      <c r="B106" s="5" t="n">
        <v>9.119999999999999</v>
      </c>
      <c r="C106" s="12" t="n">
        <v>1.86</v>
      </c>
    </row>
    <row r="107">
      <c r="A107" t="inlineStr">
        <is>
          <t>2024-11</t>
        </is>
      </c>
      <c r="B107" s="5" t="n">
        <v>9.32</v>
      </c>
      <c r="C107" s="12" t="n">
        <v>1.89</v>
      </c>
    </row>
    <row r="108">
      <c r="A108" t="inlineStr">
        <is>
          <t>2024-12</t>
        </is>
      </c>
      <c r="B108" s="5" t="n">
        <v>8.949999999999999</v>
      </c>
      <c r="C108" s="12" t="n">
        <v>1.83</v>
      </c>
    </row>
    <row r="109">
      <c r="A109" t="inlineStr">
        <is>
          <t>2025-01</t>
        </is>
      </c>
      <c r="B109" s="5" t="n">
        <v>9.279999999999999</v>
      </c>
      <c r="C109" s="12" t="n">
        <v>1.89</v>
      </c>
    </row>
    <row r="110">
      <c r="A110" t="inlineStr">
        <is>
          <t>2025-02</t>
        </is>
      </c>
      <c r="B110" s="5" t="n">
        <v>8.27</v>
      </c>
      <c r="C110" s="12" t="n">
        <v>1.7</v>
      </c>
    </row>
    <row r="111">
      <c r="A111" t="inlineStr">
        <is>
          <t>2025-03</t>
        </is>
      </c>
      <c r="B111" s="5" t="n">
        <v>7.9</v>
      </c>
      <c r="C111" s="12" t="n">
        <v>1.64</v>
      </c>
    </row>
    <row r="112">
      <c r="A112" t="inlineStr">
        <is>
          <t>2025-04</t>
        </is>
      </c>
      <c r="B112" s="5" t="n">
        <v>7.56</v>
      </c>
      <c r="C112" s="12" t="n">
        <v>1.58</v>
      </c>
    </row>
    <row r="113">
      <c r="A113" t="inlineStr">
        <is>
          <t>2025-05</t>
        </is>
      </c>
      <c r="B113" s="5" t="n">
        <v>7.22</v>
      </c>
      <c r="C113" s="12" t="n">
        <v>1.55</v>
      </c>
    </row>
    <row r="114">
      <c r="A114" t="inlineStr">
        <is>
          <t>2025-06</t>
        </is>
      </c>
      <c r="B114" s="5" t="n">
        <v>7.67</v>
      </c>
      <c r="C114" s="12" t="n">
        <v>1.64</v>
      </c>
    </row>
    <row r="115">
      <c r="A115" t="inlineStr">
        <is>
          <t>2025-07</t>
        </is>
      </c>
      <c r="B115" s="5" t="n">
        <v>8.32</v>
      </c>
      <c r="C115" s="12" t="n">
        <v>1.75</v>
      </c>
    </row>
    <row r="116">
      <c r="A116" t="inlineStr">
        <is>
          <t>2025-08</t>
        </is>
      </c>
      <c r="B116" s="5" t="n">
        <v>9.84</v>
      </c>
      <c r="C116" s="12" t="n">
        <v>2.03</v>
      </c>
    </row>
    <row r="117">
      <c r="A117" t="inlineStr">
        <is>
          <t>2025-09</t>
        </is>
      </c>
      <c r="B117" s="5" t="n">
        <v>12.13</v>
      </c>
      <c r="C117" s="12" t="n">
        <v>2.45</v>
      </c>
    </row>
    <row r="118">
      <c r="A118" t="inlineStr">
        <is>
          <t>2025-10</t>
        </is>
      </c>
      <c r="B118" s="5" t="n">
        <v>11.42</v>
      </c>
      <c r="C118" s="12" t="n">
        <v>2.32</v>
      </c>
    </row>
    <row r="119">
      <c r="A119" t="inlineStr">
        <is>
          <t>2025-11</t>
        </is>
      </c>
      <c r="B119" s="5" t="n">
        <v>11.55</v>
      </c>
      <c r="C119" s="12" t="n">
        <v>2.34</v>
      </c>
    </row>
    <row r="120">
      <c r="A120" t="inlineStr">
        <is>
          <t>2025-12</t>
        </is>
      </c>
      <c r="B120" s="5" t="n">
        <v>11.11</v>
      </c>
      <c r="C120" s="12" t="n">
        <v>2.26</v>
      </c>
    </row>
    <row r="121">
      <c r="A121" t="inlineStr">
        <is>
          <t>2026-01</t>
        </is>
      </c>
      <c r="B121" s="5" t="n">
        <v>14.97</v>
      </c>
      <c r="C121" s="12" t="n">
        <v>2.96</v>
      </c>
    </row>
    <row r="122">
      <c r="A122" t="inlineStr">
        <is>
          <t>2026-02</t>
        </is>
      </c>
      <c r="B122" s="5" t="n">
        <v>12.19</v>
      </c>
      <c r="C122" s="12" t="n">
        <v>2.46</v>
      </c>
    </row>
    <row r="123">
      <c r="A123" t="inlineStr">
        <is>
          <t>2026-03</t>
        </is>
      </c>
      <c r="B123" s="5" t="n">
        <v>19.12</v>
      </c>
      <c r="C123" s="12" t="n">
        <v>3.72</v>
      </c>
    </row>
    <row r="124">
      <c r="A124" t="inlineStr">
        <is>
          <t>2026-04</t>
        </is>
      </c>
      <c r="B124" s="5" t="n">
        <v>36.85</v>
      </c>
      <c r="C124" s="12" t="n">
        <v>6.95</v>
      </c>
    </row>
    <row r="125">
      <c r="A125" t="inlineStr">
        <is>
          <t>2026-05</t>
        </is>
      </c>
      <c r="B125" s="5" t="n">
        <v>42.72</v>
      </c>
      <c r="C125" s="12" t="n">
        <v>7.63</v>
      </c>
    </row>
    <row r="126">
      <c r="A126" t="inlineStr">
        <is>
          <t>2026-06</t>
        </is>
      </c>
      <c r="B126" s="5" t="n">
        <v>27.32</v>
      </c>
      <c r="C126" s="12" t="n">
        <v>4.97</v>
      </c>
    </row>
    <row r="127">
      <c r="A127" t="inlineStr">
        <is>
          <t>2026-07</t>
        </is>
      </c>
      <c r="B127" s="5" t="n">
        <v>26.45</v>
      </c>
      <c r="C127" s="12" t="n">
        <v>4.81</v>
      </c>
    </row>
    <row r="128">
      <c r="A128" t="inlineStr">
        <is>
          <t>2026-08</t>
        </is>
      </c>
      <c r="B128" s="5" t="n">
        <v>29</v>
      </c>
      <c r="C128" s="12" t="n">
        <v>5.26</v>
      </c>
    </row>
    <row r="129">
      <c r="A129" t="inlineStr">
        <is>
          <t>2026-09</t>
        </is>
      </c>
      <c r="B129" s="5" t="n">
        <v>31.57</v>
      </c>
      <c r="C129" s="12" t="n">
        <v>5.7</v>
      </c>
    </row>
    <row r="130">
      <c r="A130" t="inlineStr">
        <is>
          <t>2026-10</t>
        </is>
      </c>
      <c r="B130" s="5" t="n">
        <v>31.39</v>
      </c>
      <c r="C130" s="12" t="n">
        <v>5.67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Scenarios to FY3/2030 and probability-weighted value</t>
        </is>
      </c>
    </row>
    <row r="2">
      <c r="A2" s="2" t="inlineStr">
        <is>
          <t>Capacitor EBITDA(t) = capacitor EBITDA(t-1) x (1+volume) + price-driven revenue x drop-through. Exit at Mar-2030 on the own band.</t>
        </is>
      </c>
    </row>
    <row r="3"/>
    <row r="4">
      <c r="A4" s="13" t="inlineStr">
        <is>
          <t>Bear case</t>
        </is>
      </c>
    </row>
    <row r="5">
      <c r="A5" s="3" t="inlineStr">
        <is>
          <t>Line</t>
        </is>
      </c>
      <c r="B5" s="3" t="inlineStr">
        <is>
          <t>FY3/27</t>
        </is>
      </c>
      <c r="C5" s="3" t="inlineStr">
        <is>
          <t>FY3/28</t>
        </is>
      </c>
      <c r="D5" s="3" t="inlineStr">
        <is>
          <t>FY3/29</t>
        </is>
      </c>
      <c r="E5" s="3" t="inlineStr">
        <is>
          <t>FY3/30</t>
        </is>
      </c>
    </row>
    <row r="6">
      <c r="A6" t="inlineStr">
        <is>
          <t>Capacitor revenue</t>
        </is>
      </c>
      <c r="B6" s="6">
        <f>Inputs!$B$10</f>
        <v/>
      </c>
      <c r="C6" s="6">
        <f>B6*(1+Inputs!$B$29)*(1+Inputs!$B$32)</f>
        <v/>
      </c>
      <c r="D6" s="6">
        <f>C6*(1+Inputs!$B$30)*(1+Inputs!$B$33)</f>
        <v/>
      </c>
      <c r="E6" s="6">
        <f>D6*(1+Inputs!$B$31)*(1+Inputs!$B$34)</f>
        <v/>
      </c>
    </row>
    <row r="7">
      <c r="A7" t="inlineStr">
        <is>
          <t>Capacitor EBITDA</t>
        </is>
      </c>
      <c r="B7" s="6">
        <f>Inputs!$B$8+Inputs!$B$9-B10</f>
        <v/>
      </c>
      <c r="C7" s="6">
        <f>B7*(1+Inputs!$B$29)+B6*(1+Inputs!$B$29)*Inputs!$B$32*Inputs!$B$13</f>
        <v/>
      </c>
      <c r="D7" s="6">
        <f>C7*(1+Inputs!$B$30)+C6*(1+Inputs!$B$30)*Inputs!$B$33*Inputs!$B$13</f>
        <v/>
      </c>
      <c r="E7" s="6">
        <f>D7*(1+Inputs!$B$31)+D6*(1+Inputs!$B$31)*Inputs!$B$34*Inputs!$B$13</f>
        <v/>
      </c>
    </row>
    <row r="8">
      <c r="A8" t="inlineStr">
        <is>
          <t>Capacitor EBITDA margin</t>
        </is>
      </c>
      <c r="B8" s="7">
        <f>B7/B6</f>
        <v/>
      </c>
      <c r="C8" s="7">
        <f>C7/C6</f>
        <v/>
      </c>
      <c r="D8" s="7">
        <f>D7/D6</f>
        <v/>
      </c>
      <c r="E8" s="7">
        <f>E7/E6</f>
        <v/>
      </c>
    </row>
    <row r="9">
      <c r="A9" t="inlineStr">
        <is>
          <t>Other revenue</t>
        </is>
      </c>
      <c r="B9" s="6">
        <f>Inputs!$B$11-Inputs!$B$10</f>
        <v/>
      </c>
      <c r="C9" s="6">
        <f>B9*(1+Inputs!$B$35)</f>
        <v/>
      </c>
      <c r="D9" s="6">
        <f>C9*(1+Inputs!$B$35)</f>
        <v/>
      </c>
      <c r="E9" s="6">
        <f>D9*(1+Inputs!$B$35)</f>
        <v/>
      </c>
    </row>
    <row r="10">
      <c r="A10" t="inlineStr">
        <is>
          <t>Other EBITDA</t>
        </is>
      </c>
      <c r="B10" s="6">
        <f>B9*Inputs!$B$12</f>
        <v/>
      </c>
      <c r="C10" s="6">
        <f>C9*Inputs!$B$12</f>
        <v/>
      </c>
      <c r="D10" s="6">
        <f>D9*Inputs!$B$12</f>
        <v/>
      </c>
      <c r="E10" s="6">
        <f>E9*Inputs!$B$12</f>
        <v/>
      </c>
    </row>
    <row r="11">
      <c r="A11" t="inlineStr">
        <is>
          <t>Group revenue</t>
        </is>
      </c>
      <c r="B11" s="6">
        <f>B6+B9</f>
        <v/>
      </c>
      <c r="C11" s="6">
        <f>C6+C9</f>
        <v/>
      </c>
      <c r="D11" s="6">
        <f>D6+D9</f>
        <v/>
      </c>
      <c r="E11" s="6">
        <f>E6+E9</f>
        <v/>
      </c>
    </row>
    <row r="12">
      <c r="A12" t="inlineStr">
        <is>
          <t>Group EBITDA</t>
        </is>
      </c>
      <c r="B12" s="6">
        <f>B7+B10</f>
        <v/>
      </c>
      <c r="C12" s="6">
        <f>C7+C10</f>
        <v/>
      </c>
      <c r="D12" s="6">
        <f>D7+D10</f>
        <v/>
      </c>
      <c r="E12" s="6">
        <f>E7+E10</f>
        <v/>
      </c>
    </row>
    <row r="13">
      <c r="A13" t="inlineStr">
        <is>
          <t>D&amp;A</t>
        </is>
      </c>
      <c r="B13" s="6">
        <f>Inputs!B22</f>
        <v/>
      </c>
      <c r="C13" s="6">
        <f>Inputs!C22</f>
        <v/>
      </c>
      <c r="D13" s="6">
        <f>Inputs!D22</f>
        <v/>
      </c>
      <c r="E13" s="6">
        <f>Inputs!E22</f>
        <v/>
      </c>
    </row>
    <row r="14">
      <c r="A14" t="inlineStr">
        <is>
          <t>Net income (approx.)</t>
        </is>
      </c>
      <c r="B14" s="6">
        <f>(B12-B13)*(1-Inputs!$B$14)</f>
        <v/>
      </c>
      <c r="C14" s="6">
        <f>(C12-C13)*(1-Inputs!$B$14)</f>
        <v/>
      </c>
      <c r="D14" s="6">
        <f>(D12-D13)*(1-Inputs!$B$14)</f>
        <v/>
      </c>
      <c r="E14" s="6">
        <f>(E12-E13)*(1-Inputs!$B$14)</f>
        <v/>
      </c>
    </row>
    <row r="15">
      <c r="A15" t="inlineStr">
        <is>
          <t>Capex</t>
        </is>
      </c>
      <c r="B15" s="6">
        <f>Inputs!B23</f>
        <v/>
      </c>
      <c r="C15" s="6">
        <f>Inputs!C23</f>
        <v/>
      </c>
      <c r="D15" s="6">
        <f>Inputs!D23</f>
        <v/>
      </c>
      <c r="E15" s="6">
        <f>Inputs!E23</f>
        <v/>
      </c>
    </row>
    <row r="16">
      <c r="A16" t="inlineStr">
        <is>
          <t>Dividends</t>
        </is>
      </c>
      <c r="B16" s="6">
        <f>Inputs!B24*Inputs!$B$6</f>
        <v/>
      </c>
      <c r="C16" s="6">
        <f>Inputs!C24*Inputs!$B$6</f>
        <v/>
      </c>
      <c r="D16" s="6">
        <f>Inputs!D24*Inputs!$B$6</f>
        <v/>
      </c>
      <c r="E16" s="6">
        <f>Inputs!E24*Inputs!$B$6</f>
        <v/>
      </c>
    </row>
    <row r="17">
      <c r="A17" t="inlineStr">
        <is>
          <t>Net cash (end)</t>
        </is>
      </c>
      <c r="B17" s="6">
        <f>Inputs!$B$7+B14+B13-B15-B16</f>
        <v/>
      </c>
      <c r="C17" s="6">
        <f>B17+C14+C13-C15-C16</f>
        <v/>
      </c>
      <c r="D17" s="6">
        <f>C17+D14+D13-D15-D16</f>
        <v/>
      </c>
      <c r="E17" s="6">
        <f>D17+E14+E13-E15-E16</f>
        <v/>
      </c>
    </row>
    <row r="18"/>
    <row r="19">
      <c r="A19" s="14" t="inlineStr">
        <is>
          <t>5-yr mean EBITDA FY3/26-30</t>
        </is>
      </c>
      <c r="B19" s="15">
        <f>AVERAGE(Inputs!$B$18,B12:E12)</f>
        <v/>
      </c>
    </row>
    <row r="20">
      <c r="A20" s="14" t="inlineStr">
        <is>
          <t>Exit multiple (x)</t>
        </is>
      </c>
      <c r="B20" s="16">
        <f>Inputs!B36</f>
        <v/>
      </c>
    </row>
    <row r="21">
      <c r="A21" s="14" t="inlineStr">
        <is>
          <t>Exit EV</t>
        </is>
      </c>
      <c r="B21" s="15">
        <f>B19*B20</f>
        <v/>
      </c>
    </row>
    <row r="22">
      <c r="A22" s="14" t="inlineStr">
        <is>
          <t>Exit equity value</t>
        </is>
      </c>
      <c r="B22" s="15">
        <f>B21+E17</f>
        <v/>
      </c>
    </row>
    <row r="23">
      <c r="A23" s="14" t="inlineStr">
        <is>
          <t>Value per share at exit (JPY)</t>
        </is>
      </c>
      <c r="B23" s="15">
        <f>B22/Inputs!$B$6</f>
        <v/>
      </c>
    </row>
    <row r="24">
      <c r="A24" s="14" t="inlineStr">
        <is>
          <t>Dividends received to exit (JPY)</t>
        </is>
      </c>
      <c r="B24" s="15">
        <f>SUM(Inputs!B24:E24)</f>
        <v/>
      </c>
    </row>
    <row r="25">
      <c r="A25" s="14" t="inlineStr">
        <is>
          <t>IRR from today</t>
        </is>
      </c>
      <c r="B25" s="17">
        <f>((B23+B24)/Inputs!$B$5)^(1/Inputs!$B$16)-1</f>
        <v/>
      </c>
    </row>
    <row r="26">
      <c r="A26" s="14" t="inlineStr">
        <is>
          <t>Present value per share at CoE (JPY)</t>
        </is>
      </c>
      <c r="B26" s="15">
        <f>B23/(1+Inputs!$B$15)^Inputs!$B$16+SUMPRODUCT(Inputs!B24:E24,1/(1+Inputs!$B$15)^{0.5,1.5,2.5,3.5})</f>
        <v/>
      </c>
    </row>
    <row r="27">
      <c r="A27" s="14" t="inlineStr">
        <is>
          <t>Entry price for 20% IRR (JPY)</t>
        </is>
      </c>
      <c r="B27" s="15">
        <f>(B23+B24)/(1+Inputs!$B$17)^Inputs!$B$16</f>
        <v/>
      </c>
    </row>
    <row r="28">
      <c r="A28" s="14" t="inlineStr">
        <is>
          <t>Probability</t>
        </is>
      </c>
      <c r="B28" s="18">
        <f>Inputs!B28</f>
        <v/>
      </c>
    </row>
    <row r="29"/>
    <row r="30"/>
    <row r="31">
      <c r="A31" s="13" t="inlineStr">
        <is>
          <t>Base case</t>
        </is>
      </c>
    </row>
    <row r="32">
      <c r="A32" s="3" t="inlineStr">
        <is>
          <t>Line</t>
        </is>
      </c>
      <c r="B32" s="3" t="inlineStr">
        <is>
          <t>FY3/27</t>
        </is>
      </c>
      <c r="C32" s="3" t="inlineStr">
        <is>
          <t>FY3/28</t>
        </is>
      </c>
      <c r="D32" s="3" t="inlineStr">
        <is>
          <t>FY3/29</t>
        </is>
      </c>
      <c r="E32" s="3" t="inlineStr">
        <is>
          <t>FY3/30</t>
        </is>
      </c>
    </row>
    <row r="33">
      <c r="A33" t="inlineStr">
        <is>
          <t>Capacitor revenue</t>
        </is>
      </c>
      <c r="B33" s="6">
        <f>Inputs!$B$10</f>
        <v/>
      </c>
      <c r="C33" s="6">
        <f>B33*(1+Inputs!$C$29)*(1+Inputs!$C$32)</f>
        <v/>
      </c>
      <c r="D33" s="6">
        <f>C33*(1+Inputs!$C$30)*(1+Inputs!$C$33)</f>
        <v/>
      </c>
      <c r="E33" s="6">
        <f>D33*(1+Inputs!$C$31)*(1+Inputs!$C$34)</f>
        <v/>
      </c>
    </row>
    <row r="34">
      <c r="A34" t="inlineStr">
        <is>
          <t>Capacitor EBITDA</t>
        </is>
      </c>
      <c r="B34" s="6">
        <f>Inputs!$B$8+Inputs!$B$9-B37</f>
        <v/>
      </c>
      <c r="C34" s="6">
        <f>B34*(1+Inputs!$C$29)+B33*(1+Inputs!$C$29)*Inputs!$C$32*Inputs!$B$13</f>
        <v/>
      </c>
      <c r="D34" s="6">
        <f>C34*(1+Inputs!$C$30)+C33*(1+Inputs!$C$30)*Inputs!$C$33*Inputs!$B$13</f>
        <v/>
      </c>
      <c r="E34" s="6">
        <f>D34*(1+Inputs!$C$31)+D33*(1+Inputs!$C$31)*Inputs!$C$34*Inputs!$B$13</f>
        <v/>
      </c>
    </row>
    <row r="35">
      <c r="A35" t="inlineStr">
        <is>
          <t>Capacitor EBITDA margin</t>
        </is>
      </c>
      <c r="B35" s="7">
        <f>B34/B33</f>
        <v/>
      </c>
      <c r="C35" s="7">
        <f>C34/C33</f>
        <v/>
      </c>
      <c r="D35" s="7">
        <f>D34/D33</f>
        <v/>
      </c>
      <c r="E35" s="7">
        <f>E34/E33</f>
        <v/>
      </c>
    </row>
    <row r="36">
      <c r="A36" t="inlineStr">
        <is>
          <t>Other revenue</t>
        </is>
      </c>
      <c r="B36" s="6">
        <f>Inputs!$B$11-Inputs!$B$10</f>
        <v/>
      </c>
      <c r="C36" s="6">
        <f>B36*(1+Inputs!$C$35)</f>
        <v/>
      </c>
      <c r="D36" s="6">
        <f>C36*(1+Inputs!$C$35)</f>
        <v/>
      </c>
      <c r="E36" s="6">
        <f>D36*(1+Inputs!$C$35)</f>
        <v/>
      </c>
    </row>
    <row r="37">
      <c r="A37" t="inlineStr">
        <is>
          <t>Other EBITDA</t>
        </is>
      </c>
      <c r="B37" s="6">
        <f>B36*Inputs!$B$12</f>
        <v/>
      </c>
      <c r="C37" s="6">
        <f>C36*Inputs!$B$12</f>
        <v/>
      </c>
      <c r="D37" s="6">
        <f>D36*Inputs!$B$12</f>
        <v/>
      </c>
      <c r="E37" s="6">
        <f>E36*Inputs!$B$12</f>
        <v/>
      </c>
    </row>
    <row r="38">
      <c r="A38" t="inlineStr">
        <is>
          <t>Group revenue</t>
        </is>
      </c>
      <c r="B38" s="6">
        <f>B33+B36</f>
        <v/>
      </c>
      <c r="C38" s="6">
        <f>C33+C36</f>
        <v/>
      </c>
      <c r="D38" s="6">
        <f>D33+D36</f>
        <v/>
      </c>
      <c r="E38" s="6">
        <f>E33+E36</f>
        <v/>
      </c>
    </row>
    <row r="39">
      <c r="A39" t="inlineStr">
        <is>
          <t>Group EBITDA</t>
        </is>
      </c>
      <c r="B39" s="6">
        <f>B34+B37</f>
        <v/>
      </c>
      <c r="C39" s="6">
        <f>C34+C37</f>
        <v/>
      </c>
      <c r="D39" s="6">
        <f>D34+D37</f>
        <v/>
      </c>
      <c r="E39" s="6">
        <f>E34+E37</f>
        <v/>
      </c>
    </row>
    <row r="40">
      <c r="A40" t="inlineStr">
        <is>
          <t>D&amp;A</t>
        </is>
      </c>
      <c r="B40" s="6">
        <f>Inputs!B22</f>
        <v/>
      </c>
      <c r="C40" s="6">
        <f>Inputs!C22</f>
        <v/>
      </c>
      <c r="D40" s="6">
        <f>Inputs!D22</f>
        <v/>
      </c>
      <c r="E40" s="6">
        <f>Inputs!E22</f>
        <v/>
      </c>
    </row>
    <row r="41">
      <c r="A41" t="inlineStr">
        <is>
          <t>Net income (approx.)</t>
        </is>
      </c>
      <c r="B41" s="6">
        <f>(B39-B40)*(1-Inputs!$B$14)</f>
        <v/>
      </c>
      <c r="C41" s="6">
        <f>(C39-C40)*(1-Inputs!$B$14)</f>
        <v/>
      </c>
      <c r="D41" s="6">
        <f>(D39-D40)*(1-Inputs!$B$14)</f>
        <v/>
      </c>
      <c r="E41" s="6">
        <f>(E39-E40)*(1-Inputs!$B$14)</f>
        <v/>
      </c>
    </row>
    <row r="42">
      <c r="A42" t="inlineStr">
        <is>
          <t>Capex</t>
        </is>
      </c>
      <c r="B42" s="6">
        <f>Inputs!B23</f>
        <v/>
      </c>
      <c r="C42" s="6">
        <f>Inputs!C23</f>
        <v/>
      </c>
      <c r="D42" s="6">
        <f>Inputs!D23</f>
        <v/>
      </c>
      <c r="E42" s="6">
        <f>Inputs!E23</f>
        <v/>
      </c>
    </row>
    <row r="43">
      <c r="A43" t="inlineStr">
        <is>
          <t>Dividends</t>
        </is>
      </c>
      <c r="B43" s="6">
        <f>Inputs!B24*Inputs!$B$6</f>
        <v/>
      </c>
      <c r="C43" s="6">
        <f>Inputs!C24*Inputs!$B$6</f>
        <v/>
      </c>
      <c r="D43" s="6">
        <f>Inputs!D24*Inputs!$B$6</f>
        <v/>
      </c>
      <c r="E43" s="6">
        <f>Inputs!E24*Inputs!$B$6</f>
        <v/>
      </c>
    </row>
    <row r="44">
      <c r="A44" t="inlineStr">
        <is>
          <t>Net cash (end)</t>
        </is>
      </c>
      <c r="B44" s="6">
        <f>Inputs!$B$7+B41+B40-B42-B43</f>
        <v/>
      </c>
      <c r="C44" s="6">
        <f>B44+C41+C40-C42-C43</f>
        <v/>
      </c>
      <c r="D44" s="6">
        <f>C44+D41+D40-D42-D43</f>
        <v/>
      </c>
      <c r="E44" s="6">
        <f>D44+E41+E40-E42-E43</f>
        <v/>
      </c>
    </row>
    <row r="45"/>
    <row r="46">
      <c r="A46" s="14" t="inlineStr">
        <is>
          <t>5-yr mean EBITDA FY3/26-30</t>
        </is>
      </c>
      <c r="B46" s="15">
        <f>AVERAGE(Inputs!$B$18,B39:E39)</f>
        <v/>
      </c>
    </row>
    <row r="47">
      <c r="A47" s="14" t="inlineStr">
        <is>
          <t>Exit multiple (x)</t>
        </is>
      </c>
      <c r="B47" s="16">
        <f>Inputs!C36</f>
        <v/>
      </c>
    </row>
    <row r="48">
      <c r="A48" s="14" t="inlineStr">
        <is>
          <t>Exit EV</t>
        </is>
      </c>
      <c r="B48" s="15">
        <f>B46*B47</f>
        <v/>
      </c>
    </row>
    <row r="49">
      <c r="A49" s="14" t="inlineStr">
        <is>
          <t>Exit equity value</t>
        </is>
      </c>
      <c r="B49" s="15">
        <f>B48+E44</f>
        <v/>
      </c>
    </row>
    <row r="50">
      <c r="A50" s="14" t="inlineStr">
        <is>
          <t>Value per share at exit (JPY)</t>
        </is>
      </c>
      <c r="B50" s="15">
        <f>B49/Inputs!$B$6</f>
        <v/>
      </c>
    </row>
    <row r="51">
      <c r="A51" s="14" t="inlineStr">
        <is>
          <t>Dividends received to exit (JPY)</t>
        </is>
      </c>
      <c r="B51" s="15">
        <f>SUM(Inputs!B24:E24)</f>
        <v/>
      </c>
    </row>
    <row r="52">
      <c r="A52" s="14" t="inlineStr">
        <is>
          <t>IRR from today</t>
        </is>
      </c>
      <c r="B52" s="17">
        <f>((B50+B51)/Inputs!$B$5)^(1/Inputs!$B$16)-1</f>
        <v/>
      </c>
    </row>
    <row r="53">
      <c r="A53" s="14" t="inlineStr">
        <is>
          <t>Present value per share at CoE (JPY)</t>
        </is>
      </c>
      <c r="B53" s="15">
        <f>B50/(1+Inputs!$B$15)^Inputs!$B$16+SUMPRODUCT(Inputs!B24:E24,1/(1+Inputs!$B$15)^{0.5,1.5,2.5,3.5})</f>
        <v/>
      </c>
    </row>
    <row r="54">
      <c r="A54" s="14" t="inlineStr">
        <is>
          <t>Entry price for 20% IRR (JPY)</t>
        </is>
      </c>
      <c r="B54" s="15">
        <f>(B50+B51)/(1+Inputs!$B$17)^Inputs!$B$16</f>
        <v/>
      </c>
    </row>
    <row r="55">
      <c r="A55" s="14" t="inlineStr">
        <is>
          <t>Probability</t>
        </is>
      </c>
      <c r="B55" s="18">
        <f>Inputs!C28</f>
        <v/>
      </c>
    </row>
    <row r="56"/>
    <row r="57"/>
    <row r="58">
      <c r="A58" s="13" t="inlineStr">
        <is>
          <t>Bull case</t>
        </is>
      </c>
    </row>
    <row r="59">
      <c r="A59" s="3" t="inlineStr">
        <is>
          <t>Line</t>
        </is>
      </c>
      <c r="B59" s="3" t="inlineStr">
        <is>
          <t>FY3/27</t>
        </is>
      </c>
      <c r="C59" s="3" t="inlineStr">
        <is>
          <t>FY3/28</t>
        </is>
      </c>
      <c r="D59" s="3" t="inlineStr">
        <is>
          <t>FY3/29</t>
        </is>
      </c>
      <c r="E59" s="3" t="inlineStr">
        <is>
          <t>FY3/30</t>
        </is>
      </c>
    </row>
    <row r="60">
      <c r="A60" t="inlineStr">
        <is>
          <t>Capacitor revenue</t>
        </is>
      </c>
      <c r="B60" s="6">
        <f>Inputs!$B$10</f>
        <v/>
      </c>
      <c r="C60" s="6">
        <f>B60*(1+Inputs!$D$29)*(1+Inputs!$D$32)</f>
        <v/>
      </c>
      <c r="D60" s="6">
        <f>C60*(1+Inputs!$D$30)*(1+Inputs!$D$33)</f>
        <v/>
      </c>
      <c r="E60" s="6">
        <f>D60*(1+Inputs!$D$31)*(1+Inputs!$D$34)</f>
        <v/>
      </c>
    </row>
    <row r="61">
      <c r="A61" t="inlineStr">
        <is>
          <t>Capacitor EBITDA</t>
        </is>
      </c>
      <c r="B61" s="6">
        <f>Inputs!$B$8+Inputs!$B$9-B64</f>
        <v/>
      </c>
      <c r="C61" s="6">
        <f>B61*(1+Inputs!$D$29)+B60*(1+Inputs!$D$29)*Inputs!$D$32*Inputs!$B$13</f>
        <v/>
      </c>
      <c r="D61" s="6">
        <f>C61*(1+Inputs!$D$30)+C60*(1+Inputs!$D$30)*Inputs!$D$33*Inputs!$B$13</f>
        <v/>
      </c>
      <c r="E61" s="6">
        <f>D61*(1+Inputs!$D$31)+D60*(1+Inputs!$D$31)*Inputs!$D$34*Inputs!$B$13</f>
        <v/>
      </c>
    </row>
    <row r="62">
      <c r="A62" t="inlineStr">
        <is>
          <t>Capacitor EBITDA margin</t>
        </is>
      </c>
      <c r="B62" s="7">
        <f>B61/B60</f>
        <v/>
      </c>
      <c r="C62" s="7">
        <f>C61/C60</f>
        <v/>
      </c>
      <c r="D62" s="7">
        <f>D61/D60</f>
        <v/>
      </c>
      <c r="E62" s="7">
        <f>E61/E60</f>
        <v/>
      </c>
    </row>
    <row r="63">
      <c r="A63" t="inlineStr">
        <is>
          <t>Other revenue</t>
        </is>
      </c>
      <c r="B63" s="6">
        <f>Inputs!$B$11-Inputs!$B$10</f>
        <v/>
      </c>
      <c r="C63" s="6">
        <f>B63*(1+Inputs!$D$35)</f>
        <v/>
      </c>
      <c r="D63" s="6">
        <f>C63*(1+Inputs!$D$35)</f>
        <v/>
      </c>
      <c r="E63" s="6">
        <f>D63*(1+Inputs!$D$35)</f>
        <v/>
      </c>
    </row>
    <row r="64">
      <c r="A64" t="inlineStr">
        <is>
          <t>Other EBITDA</t>
        </is>
      </c>
      <c r="B64" s="6">
        <f>B63*Inputs!$B$12</f>
        <v/>
      </c>
      <c r="C64" s="6">
        <f>C63*Inputs!$B$12</f>
        <v/>
      </c>
      <c r="D64" s="6">
        <f>D63*Inputs!$B$12</f>
        <v/>
      </c>
      <c r="E64" s="6">
        <f>E63*Inputs!$B$12</f>
        <v/>
      </c>
    </row>
    <row r="65">
      <c r="A65" t="inlineStr">
        <is>
          <t>Group revenue</t>
        </is>
      </c>
      <c r="B65" s="6">
        <f>B60+B63</f>
        <v/>
      </c>
      <c r="C65" s="6">
        <f>C60+C63</f>
        <v/>
      </c>
      <c r="D65" s="6">
        <f>D60+D63</f>
        <v/>
      </c>
      <c r="E65" s="6">
        <f>E60+E63</f>
        <v/>
      </c>
    </row>
    <row r="66">
      <c r="A66" t="inlineStr">
        <is>
          <t>Group EBITDA</t>
        </is>
      </c>
      <c r="B66" s="6">
        <f>B61+B64</f>
        <v/>
      </c>
      <c r="C66" s="6">
        <f>C61+C64</f>
        <v/>
      </c>
      <c r="D66" s="6">
        <f>D61+D64</f>
        <v/>
      </c>
      <c r="E66" s="6">
        <f>E61+E64</f>
        <v/>
      </c>
    </row>
    <row r="67">
      <c r="A67" t="inlineStr">
        <is>
          <t>D&amp;A</t>
        </is>
      </c>
      <c r="B67" s="6">
        <f>Inputs!B22</f>
        <v/>
      </c>
      <c r="C67" s="6">
        <f>Inputs!C22</f>
        <v/>
      </c>
      <c r="D67" s="6">
        <f>Inputs!D22</f>
        <v/>
      </c>
      <c r="E67" s="6">
        <f>Inputs!E22</f>
        <v/>
      </c>
    </row>
    <row r="68">
      <c r="A68" t="inlineStr">
        <is>
          <t>Net income (approx.)</t>
        </is>
      </c>
      <c r="B68" s="6">
        <f>(B66-B67)*(1-Inputs!$B$14)</f>
        <v/>
      </c>
      <c r="C68" s="6">
        <f>(C66-C67)*(1-Inputs!$B$14)</f>
        <v/>
      </c>
      <c r="D68" s="6">
        <f>(D66-D67)*(1-Inputs!$B$14)</f>
        <v/>
      </c>
      <c r="E68" s="6">
        <f>(E66-E67)*(1-Inputs!$B$14)</f>
        <v/>
      </c>
    </row>
    <row r="69">
      <c r="A69" t="inlineStr">
        <is>
          <t>Capex</t>
        </is>
      </c>
      <c r="B69" s="6">
        <f>Inputs!B23</f>
        <v/>
      </c>
      <c r="C69" s="6">
        <f>Inputs!C23</f>
        <v/>
      </c>
      <c r="D69" s="6">
        <f>Inputs!D23</f>
        <v/>
      </c>
      <c r="E69" s="6">
        <f>Inputs!E23</f>
        <v/>
      </c>
    </row>
    <row r="70">
      <c r="A70" t="inlineStr">
        <is>
          <t>Dividends</t>
        </is>
      </c>
      <c r="B70" s="6">
        <f>Inputs!B24*Inputs!$B$6</f>
        <v/>
      </c>
      <c r="C70" s="6">
        <f>Inputs!C24*Inputs!$B$6</f>
        <v/>
      </c>
      <c r="D70" s="6">
        <f>Inputs!D24*Inputs!$B$6</f>
        <v/>
      </c>
      <c r="E70" s="6">
        <f>Inputs!E24*Inputs!$B$6</f>
        <v/>
      </c>
    </row>
    <row r="71">
      <c r="A71" t="inlineStr">
        <is>
          <t>Net cash (end)</t>
        </is>
      </c>
      <c r="B71" s="6">
        <f>Inputs!$B$7+B68+B67-B69-B70</f>
        <v/>
      </c>
      <c r="C71" s="6">
        <f>B71+C68+C67-C69-C70</f>
        <v/>
      </c>
      <c r="D71" s="6">
        <f>C71+D68+D67-D69-D70</f>
        <v/>
      </c>
      <c r="E71" s="6">
        <f>D71+E68+E67-E69-E70</f>
        <v/>
      </c>
    </row>
    <row r="72"/>
    <row r="73">
      <c r="A73" s="14" t="inlineStr">
        <is>
          <t>5-yr mean EBITDA FY3/26-30</t>
        </is>
      </c>
      <c r="B73" s="15">
        <f>AVERAGE(Inputs!$B$18,B66:E66)</f>
        <v/>
      </c>
    </row>
    <row r="74">
      <c r="A74" s="14" t="inlineStr">
        <is>
          <t>Exit multiple (x)</t>
        </is>
      </c>
      <c r="B74" s="16">
        <f>Inputs!D36</f>
        <v/>
      </c>
    </row>
    <row r="75">
      <c r="A75" s="14" t="inlineStr">
        <is>
          <t>Exit EV</t>
        </is>
      </c>
      <c r="B75" s="15">
        <f>B73*B74</f>
        <v/>
      </c>
    </row>
    <row r="76">
      <c r="A76" s="14" t="inlineStr">
        <is>
          <t>Exit equity value</t>
        </is>
      </c>
      <c r="B76" s="15">
        <f>B75+E71</f>
        <v/>
      </c>
    </row>
    <row r="77">
      <c r="A77" s="14" t="inlineStr">
        <is>
          <t>Value per share at exit (JPY)</t>
        </is>
      </c>
      <c r="B77" s="15">
        <f>B76/Inputs!$B$6</f>
        <v/>
      </c>
    </row>
    <row r="78">
      <c r="A78" s="14" t="inlineStr">
        <is>
          <t>Dividends received to exit (JPY)</t>
        </is>
      </c>
      <c r="B78" s="15">
        <f>SUM(Inputs!B24:E24)</f>
        <v/>
      </c>
    </row>
    <row r="79">
      <c r="A79" s="14" t="inlineStr">
        <is>
          <t>IRR from today</t>
        </is>
      </c>
      <c r="B79" s="17">
        <f>((B77+B78)/Inputs!$B$5)^(1/Inputs!$B$16)-1</f>
        <v/>
      </c>
    </row>
    <row r="80">
      <c r="A80" s="14" t="inlineStr">
        <is>
          <t>Present value per share at CoE (JPY)</t>
        </is>
      </c>
      <c r="B80" s="15">
        <f>B77/(1+Inputs!$B$15)^Inputs!$B$16+SUMPRODUCT(Inputs!B24:E24,1/(1+Inputs!$B$15)^{0.5,1.5,2.5,3.5})</f>
        <v/>
      </c>
    </row>
    <row r="81">
      <c r="A81" s="14" t="inlineStr">
        <is>
          <t>Entry price for 20% IRR (JPY)</t>
        </is>
      </c>
      <c r="B81" s="15">
        <f>(B77+B78)/(1+Inputs!$B$17)^Inputs!$B$16</f>
        <v/>
      </c>
    </row>
    <row r="82">
      <c r="A82" s="14" t="inlineStr">
        <is>
          <t>Probability</t>
        </is>
      </c>
      <c r="B82" s="18">
        <f>Inputs!D28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Sensitivity grids</t>
        </is>
      </c>
    </row>
    <row r="2">
      <c r="A2" s="2" t="inlineStr">
        <is>
          <t>Grid 1 = the single technical driver: annual MLCC price change x annual volume growth, FY3/28-30, Base other inputs, Base exit multiple. Grid 2 = exit multiple x 5-yr mean EBITDA.</t>
        </is>
      </c>
    </row>
    <row r="4">
      <c r="A4" s="14" t="inlineStr">
        <is>
          <t>Value per share at exit (JPY): rows = annual capacitor volume growth, columns = annual capacitor price change</t>
        </is>
      </c>
    </row>
    <row r="5">
      <c r="A5" t="inlineStr">
        <is>
          <t>vol \ price</t>
        </is>
      </c>
      <c r="B5" s="19" t="n">
        <v>-0.1</v>
      </c>
      <c r="C5" s="19" t="n">
        <v>-0.05</v>
      </c>
      <c r="D5" s="19" t="n">
        <v>-0.02</v>
      </c>
      <c r="E5" s="19" t="n">
        <v>0</v>
      </c>
      <c r="F5" s="19" t="n">
        <v>0.03</v>
      </c>
      <c r="G5" s="19" t="n">
        <v>0.06</v>
      </c>
      <c r="H5" s="19" t="n">
        <v>0.1</v>
      </c>
    </row>
    <row r="6">
      <c r="A6" s="19" t="n">
        <v>-0.05</v>
      </c>
      <c r="B6" s="6">
        <f>(((Inputs!$B$18)+(Inputs!$B$8+Inputs!$B$9)+((Scenarios!$B$34*(1+$A6)+Scenarios!$B$33*(1+$A6)^1*(1+B$5)^0*B$5*Inputs!$B$13)+Scenarios!$B$36*(1+Inputs!$C$35)^1*Inputs!$B$12)+(((Scenarios!$B$34*(1+$A6)+Scenarios!$B$33*(1+$A6)^1*(1+B$5)^0*B$5*Inputs!$B$13)*(1+$A6)+Scenarios!$B$33*(1+$A6)^2*(1+B$5)^1*B$5*Inputs!$B$13)+Scenarios!$B$36*(1+Inputs!$C$35)^2*Inputs!$B$12)+((((Scenarios!$B$34*(1+$A6)+Scenarios!$B$33*(1+$A6)^1*(1+B$5)^0*B$5*Inputs!$B$13)*(1+$A6)+Scenarios!$B$33*(1+$A6)^2*(1+B$5)^1*B$5*Inputs!$B$13)*(1+$A6)+Scenarios!$B$33*(1+$A6)^3*(1+B$5)^2*B$5*Inputs!$B$13)+Scenarios!$B$36*(1+Inputs!$C$35)^3*Inputs!$B$12))/5*Inputs!$C$36+Scenarios!E44)/Inputs!$B$6</f>
        <v/>
      </c>
      <c r="C6" s="6">
        <f>(((Inputs!$B$18)+(Inputs!$B$8+Inputs!$B$9)+((Scenarios!$B$34*(1+$A6)+Scenarios!$B$33*(1+$A6)^1*(1+C$5)^0*C$5*Inputs!$B$13)+Scenarios!$B$36*(1+Inputs!$C$35)^1*Inputs!$B$12)+(((Scenarios!$B$34*(1+$A6)+Scenarios!$B$33*(1+$A6)^1*(1+C$5)^0*C$5*Inputs!$B$13)*(1+$A6)+Scenarios!$B$33*(1+$A6)^2*(1+C$5)^1*C$5*Inputs!$B$13)+Scenarios!$B$36*(1+Inputs!$C$35)^2*Inputs!$B$12)+((((Scenarios!$B$34*(1+$A6)+Scenarios!$B$33*(1+$A6)^1*(1+C$5)^0*C$5*Inputs!$B$13)*(1+$A6)+Scenarios!$B$33*(1+$A6)^2*(1+C$5)^1*C$5*Inputs!$B$13)*(1+$A6)+Scenarios!$B$33*(1+$A6)^3*(1+C$5)^2*C$5*Inputs!$B$13)+Scenarios!$B$36*(1+Inputs!$C$35)^3*Inputs!$B$12))/5*Inputs!$C$36+Scenarios!E44)/Inputs!$B$6</f>
        <v/>
      </c>
      <c r="D6" s="6">
        <f>(((Inputs!$B$18)+(Inputs!$B$8+Inputs!$B$9)+((Scenarios!$B$34*(1+$A6)+Scenarios!$B$33*(1+$A6)^1*(1+D$5)^0*D$5*Inputs!$B$13)+Scenarios!$B$36*(1+Inputs!$C$35)^1*Inputs!$B$12)+(((Scenarios!$B$34*(1+$A6)+Scenarios!$B$33*(1+$A6)^1*(1+D$5)^0*D$5*Inputs!$B$13)*(1+$A6)+Scenarios!$B$33*(1+$A6)^2*(1+D$5)^1*D$5*Inputs!$B$13)+Scenarios!$B$36*(1+Inputs!$C$35)^2*Inputs!$B$12)+((((Scenarios!$B$34*(1+$A6)+Scenarios!$B$33*(1+$A6)^1*(1+D$5)^0*D$5*Inputs!$B$13)*(1+$A6)+Scenarios!$B$33*(1+$A6)^2*(1+D$5)^1*D$5*Inputs!$B$13)*(1+$A6)+Scenarios!$B$33*(1+$A6)^3*(1+D$5)^2*D$5*Inputs!$B$13)+Scenarios!$B$36*(1+Inputs!$C$35)^3*Inputs!$B$12))/5*Inputs!$C$36+Scenarios!E44)/Inputs!$B$6</f>
        <v/>
      </c>
      <c r="E6" s="6">
        <f>(((Inputs!$B$18)+(Inputs!$B$8+Inputs!$B$9)+((Scenarios!$B$34*(1+$A6)+Scenarios!$B$33*(1+$A6)^1*(1+E$5)^0*E$5*Inputs!$B$13)+Scenarios!$B$36*(1+Inputs!$C$35)^1*Inputs!$B$12)+(((Scenarios!$B$34*(1+$A6)+Scenarios!$B$33*(1+$A6)^1*(1+E$5)^0*E$5*Inputs!$B$13)*(1+$A6)+Scenarios!$B$33*(1+$A6)^2*(1+E$5)^1*E$5*Inputs!$B$13)+Scenarios!$B$36*(1+Inputs!$C$35)^2*Inputs!$B$12)+((((Scenarios!$B$34*(1+$A6)+Scenarios!$B$33*(1+$A6)^1*(1+E$5)^0*E$5*Inputs!$B$13)*(1+$A6)+Scenarios!$B$33*(1+$A6)^2*(1+E$5)^1*E$5*Inputs!$B$13)*(1+$A6)+Scenarios!$B$33*(1+$A6)^3*(1+E$5)^2*E$5*Inputs!$B$13)+Scenarios!$B$36*(1+Inputs!$C$35)^3*Inputs!$B$12))/5*Inputs!$C$36+Scenarios!E44)/Inputs!$B$6</f>
        <v/>
      </c>
      <c r="F6" s="6">
        <f>(((Inputs!$B$18)+(Inputs!$B$8+Inputs!$B$9)+((Scenarios!$B$34*(1+$A6)+Scenarios!$B$33*(1+$A6)^1*(1+F$5)^0*F$5*Inputs!$B$13)+Scenarios!$B$36*(1+Inputs!$C$35)^1*Inputs!$B$12)+(((Scenarios!$B$34*(1+$A6)+Scenarios!$B$33*(1+$A6)^1*(1+F$5)^0*F$5*Inputs!$B$13)*(1+$A6)+Scenarios!$B$33*(1+$A6)^2*(1+F$5)^1*F$5*Inputs!$B$13)+Scenarios!$B$36*(1+Inputs!$C$35)^2*Inputs!$B$12)+((((Scenarios!$B$34*(1+$A6)+Scenarios!$B$33*(1+$A6)^1*(1+F$5)^0*F$5*Inputs!$B$13)*(1+$A6)+Scenarios!$B$33*(1+$A6)^2*(1+F$5)^1*F$5*Inputs!$B$13)*(1+$A6)+Scenarios!$B$33*(1+$A6)^3*(1+F$5)^2*F$5*Inputs!$B$13)+Scenarios!$B$36*(1+Inputs!$C$35)^3*Inputs!$B$12))/5*Inputs!$C$36+Scenarios!E44)/Inputs!$B$6</f>
        <v/>
      </c>
      <c r="G6" s="6">
        <f>(((Inputs!$B$18)+(Inputs!$B$8+Inputs!$B$9)+((Scenarios!$B$34*(1+$A6)+Scenarios!$B$33*(1+$A6)^1*(1+G$5)^0*G$5*Inputs!$B$13)+Scenarios!$B$36*(1+Inputs!$C$35)^1*Inputs!$B$12)+(((Scenarios!$B$34*(1+$A6)+Scenarios!$B$33*(1+$A6)^1*(1+G$5)^0*G$5*Inputs!$B$13)*(1+$A6)+Scenarios!$B$33*(1+$A6)^2*(1+G$5)^1*G$5*Inputs!$B$13)+Scenarios!$B$36*(1+Inputs!$C$35)^2*Inputs!$B$12)+((((Scenarios!$B$34*(1+$A6)+Scenarios!$B$33*(1+$A6)^1*(1+G$5)^0*G$5*Inputs!$B$13)*(1+$A6)+Scenarios!$B$33*(1+$A6)^2*(1+G$5)^1*G$5*Inputs!$B$13)*(1+$A6)+Scenarios!$B$33*(1+$A6)^3*(1+G$5)^2*G$5*Inputs!$B$13)+Scenarios!$B$36*(1+Inputs!$C$35)^3*Inputs!$B$12))/5*Inputs!$C$36+Scenarios!E44)/Inputs!$B$6</f>
        <v/>
      </c>
      <c r="H6" s="6">
        <f>(((Inputs!$B$18)+(Inputs!$B$8+Inputs!$B$9)+((Scenarios!$B$34*(1+$A6)+Scenarios!$B$33*(1+$A6)^1*(1+H$5)^0*H$5*Inputs!$B$13)+Scenarios!$B$36*(1+Inputs!$C$35)^1*Inputs!$B$12)+(((Scenarios!$B$34*(1+$A6)+Scenarios!$B$33*(1+$A6)^1*(1+H$5)^0*H$5*Inputs!$B$13)*(1+$A6)+Scenarios!$B$33*(1+$A6)^2*(1+H$5)^1*H$5*Inputs!$B$13)+Scenarios!$B$36*(1+Inputs!$C$35)^2*Inputs!$B$12)+((((Scenarios!$B$34*(1+$A6)+Scenarios!$B$33*(1+$A6)^1*(1+H$5)^0*H$5*Inputs!$B$13)*(1+$A6)+Scenarios!$B$33*(1+$A6)^2*(1+H$5)^1*H$5*Inputs!$B$13)*(1+$A6)+Scenarios!$B$33*(1+$A6)^3*(1+H$5)^2*H$5*Inputs!$B$13)+Scenarios!$B$36*(1+Inputs!$C$35)^3*Inputs!$B$12))/5*Inputs!$C$36+Scenarios!E44)/Inputs!$B$6</f>
        <v/>
      </c>
    </row>
    <row r="7">
      <c r="A7" s="19" t="n">
        <v>0</v>
      </c>
      <c r="B7" s="6">
        <f>(((Inputs!$B$18)+(Inputs!$B$8+Inputs!$B$9)+((Scenarios!$B$34*(1+$A7)+Scenarios!$B$33*(1+$A7)^1*(1+B$5)^0*B$5*Inputs!$B$13)+Scenarios!$B$36*(1+Inputs!$C$35)^1*Inputs!$B$12)+(((Scenarios!$B$34*(1+$A7)+Scenarios!$B$33*(1+$A7)^1*(1+B$5)^0*B$5*Inputs!$B$13)*(1+$A7)+Scenarios!$B$33*(1+$A7)^2*(1+B$5)^1*B$5*Inputs!$B$13)+Scenarios!$B$36*(1+Inputs!$C$35)^2*Inputs!$B$12)+((((Scenarios!$B$34*(1+$A7)+Scenarios!$B$33*(1+$A7)^1*(1+B$5)^0*B$5*Inputs!$B$13)*(1+$A7)+Scenarios!$B$33*(1+$A7)^2*(1+B$5)^1*B$5*Inputs!$B$13)*(1+$A7)+Scenarios!$B$33*(1+$A7)^3*(1+B$5)^2*B$5*Inputs!$B$13)+Scenarios!$B$36*(1+Inputs!$C$35)^3*Inputs!$B$12))/5*Inputs!$C$36+Scenarios!E44)/Inputs!$B$6</f>
        <v/>
      </c>
      <c r="C7" s="6">
        <f>(((Inputs!$B$18)+(Inputs!$B$8+Inputs!$B$9)+((Scenarios!$B$34*(1+$A7)+Scenarios!$B$33*(1+$A7)^1*(1+C$5)^0*C$5*Inputs!$B$13)+Scenarios!$B$36*(1+Inputs!$C$35)^1*Inputs!$B$12)+(((Scenarios!$B$34*(1+$A7)+Scenarios!$B$33*(1+$A7)^1*(1+C$5)^0*C$5*Inputs!$B$13)*(1+$A7)+Scenarios!$B$33*(1+$A7)^2*(1+C$5)^1*C$5*Inputs!$B$13)+Scenarios!$B$36*(1+Inputs!$C$35)^2*Inputs!$B$12)+((((Scenarios!$B$34*(1+$A7)+Scenarios!$B$33*(1+$A7)^1*(1+C$5)^0*C$5*Inputs!$B$13)*(1+$A7)+Scenarios!$B$33*(1+$A7)^2*(1+C$5)^1*C$5*Inputs!$B$13)*(1+$A7)+Scenarios!$B$33*(1+$A7)^3*(1+C$5)^2*C$5*Inputs!$B$13)+Scenarios!$B$36*(1+Inputs!$C$35)^3*Inputs!$B$12))/5*Inputs!$C$36+Scenarios!E44)/Inputs!$B$6</f>
        <v/>
      </c>
      <c r="D7" s="6">
        <f>(((Inputs!$B$18)+(Inputs!$B$8+Inputs!$B$9)+((Scenarios!$B$34*(1+$A7)+Scenarios!$B$33*(1+$A7)^1*(1+D$5)^0*D$5*Inputs!$B$13)+Scenarios!$B$36*(1+Inputs!$C$35)^1*Inputs!$B$12)+(((Scenarios!$B$34*(1+$A7)+Scenarios!$B$33*(1+$A7)^1*(1+D$5)^0*D$5*Inputs!$B$13)*(1+$A7)+Scenarios!$B$33*(1+$A7)^2*(1+D$5)^1*D$5*Inputs!$B$13)+Scenarios!$B$36*(1+Inputs!$C$35)^2*Inputs!$B$12)+((((Scenarios!$B$34*(1+$A7)+Scenarios!$B$33*(1+$A7)^1*(1+D$5)^0*D$5*Inputs!$B$13)*(1+$A7)+Scenarios!$B$33*(1+$A7)^2*(1+D$5)^1*D$5*Inputs!$B$13)*(1+$A7)+Scenarios!$B$33*(1+$A7)^3*(1+D$5)^2*D$5*Inputs!$B$13)+Scenarios!$B$36*(1+Inputs!$C$35)^3*Inputs!$B$12))/5*Inputs!$C$36+Scenarios!E44)/Inputs!$B$6</f>
        <v/>
      </c>
      <c r="E7" s="6">
        <f>(((Inputs!$B$18)+(Inputs!$B$8+Inputs!$B$9)+((Scenarios!$B$34*(1+$A7)+Scenarios!$B$33*(1+$A7)^1*(1+E$5)^0*E$5*Inputs!$B$13)+Scenarios!$B$36*(1+Inputs!$C$35)^1*Inputs!$B$12)+(((Scenarios!$B$34*(1+$A7)+Scenarios!$B$33*(1+$A7)^1*(1+E$5)^0*E$5*Inputs!$B$13)*(1+$A7)+Scenarios!$B$33*(1+$A7)^2*(1+E$5)^1*E$5*Inputs!$B$13)+Scenarios!$B$36*(1+Inputs!$C$35)^2*Inputs!$B$12)+((((Scenarios!$B$34*(1+$A7)+Scenarios!$B$33*(1+$A7)^1*(1+E$5)^0*E$5*Inputs!$B$13)*(1+$A7)+Scenarios!$B$33*(1+$A7)^2*(1+E$5)^1*E$5*Inputs!$B$13)*(1+$A7)+Scenarios!$B$33*(1+$A7)^3*(1+E$5)^2*E$5*Inputs!$B$13)+Scenarios!$B$36*(1+Inputs!$C$35)^3*Inputs!$B$12))/5*Inputs!$C$36+Scenarios!E44)/Inputs!$B$6</f>
        <v/>
      </c>
      <c r="F7" s="6">
        <f>(((Inputs!$B$18)+(Inputs!$B$8+Inputs!$B$9)+((Scenarios!$B$34*(1+$A7)+Scenarios!$B$33*(1+$A7)^1*(1+F$5)^0*F$5*Inputs!$B$13)+Scenarios!$B$36*(1+Inputs!$C$35)^1*Inputs!$B$12)+(((Scenarios!$B$34*(1+$A7)+Scenarios!$B$33*(1+$A7)^1*(1+F$5)^0*F$5*Inputs!$B$13)*(1+$A7)+Scenarios!$B$33*(1+$A7)^2*(1+F$5)^1*F$5*Inputs!$B$13)+Scenarios!$B$36*(1+Inputs!$C$35)^2*Inputs!$B$12)+((((Scenarios!$B$34*(1+$A7)+Scenarios!$B$33*(1+$A7)^1*(1+F$5)^0*F$5*Inputs!$B$13)*(1+$A7)+Scenarios!$B$33*(1+$A7)^2*(1+F$5)^1*F$5*Inputs!$B$13)*(1+$A7)+Scenarios!$B$33*(1+$A7)^3*(1+F$5)^2*F$5*Inputs!$B$13)+Scenarios!$B$36*(1+Inputs!$C$35)^3*Inputs!$B$12))/5*Inputs!$C$36+Scenarios!E44)/Inputs!$B$6</f>
        <v/>
      </c>
      <c r="G7" s="6">
        <f>(((Inputs!$B$18)+(Inputs!$B$8+Inputs!$B$9)+((Scenarios!$B$34*(1+$A7)+Scenarios!$B$33*(1+$A7)^1*(1+G$5)^0*G$5*Inputs!$B$13)+Scenarios!$B$36*(1+Inputs!$C$35)^1*Inputs!$B$12)+(((Scenarios!$B$34*(1+$A7)+Scenarios!$B$33*(1+$A7)^1*(1+G$5)^0*G$5*Inputs!$B$13)*(1+$A7)+Scenarios!$B$33*(1+$A7)^2*(1+G$5)^1*G$5*Inputs!$B$13)+Scenarios!$B$36*(1+Inputs!$C$35)^2*Inputs!$B$12)+((((Scenarios!$B$34*(1+$A7)+Scenarios!$B$33*(1+$A7)^1*(1+G$5)^0*G$5*Inputs!$B$13)*(1+$A7)+Scenarios!$B$33*(1+$A7)^2*(1+G$5)^1*G$5*Inputs!$B$13)*(1+$A7)+Scenarios!$B$33*(1+$A7)^3*(1+G$5)^2*G$5*Inputs!$B$13)+Scenarios!$B$36*(1+Inputs!$C$35)^3*Inputs!$B$12))/5*Inputs!$C$36+Scenarios!E44)/Inputs!$B$6</f>
        <v/>
      </c>
      <c r="H7" s="6">
        <f>(((Inputs!$B$18)+(Inputs!$B$8+Inputs!$B$9)+((Scenarios!$B$34*(1+$A7)+Scenarios!$B$33*(1+$A7)^1*(1+H$5)^0*H$5*Inputs!$B$13)+Scenarios!$B$36*(1+Inputs!$C$35)^1*Inputs!$B$12)+(((Scenarios!$B$34*(1+$A7)+Scenarios!$B$33*(1+$A7)^1*(1+H$5)^0*H$5*Inputs!$B$13)*(1+$A7)+Scenarios!$B$33*(1+$A7)^2*(1+H$5)^1*H$5*Inputs!$B$13)+Scenarios!$B$36*(1+Inputs!$C$35)^2*Inputs!$B$12)+((((Scenarios!$B$34*(1+$A7)+Scenarios!$B$33*(1+$A7)^1*(1+H$5)^0*H$5*Inputs!$B$13)*(1+$A7)+Scenarios!$B$33*(1+$A7)^2*(1+H$5)^1*H$5*Inputs!$B$13)*(1+$A7)+Scenarios!$B$33*(1+$A7)^3*(1+H$5)^2*H$5*Inputs!$B$13)+Scenarios!$B$36*(1+Inputs!$C$35)^3*Inputs!$B$12))/5*Inputs!$C$36+Scenarios!E44)/Inputs!$B$6</f>
        <v/>
      </c>
    </row>
    <row r="8">
      <c r="A8" s="19" t="n">
        <v>0.05</v>
      </c>
      <c r="B8" s="6">
        <f>(((Inputs!$B$18)+(Inputs!$B$8+Inputs!$B$9)+((Scenarios!$B$34*(1+$A8)+Scenarios!$B$33*(1+$A8)^1*(1+B$5)^0*B$5*Inputs!$B$13)+Scenarios!$B$36*(1+Inputs!$C$35)^1*Inputs!$B$12)+(((Scenarios!$B$34*(1+$A8)+Scenarios!$B$33*(1+$A8)^1*(1+B$5)^0*B$5*Inputs!$B$13)*(1+$A8)+Scenarios!$B$33*(1+$A8)^2*(1+B$5)^1*B$5*Inputs!$B$13)+Scenarios!$B$36*(1+Inputs!$C$35)^2*Inputs!$B$12)+((((Scenarios!$B$34*(1+$A8)+Scenarios!$B$33*(1+$A8)^1*(1+B$5)^0*B$5*Inputs!$B$13)*(1+$A8)+Scenarios!$B$33*(1+$A8)^2*(1+B$5)^1*B$5*Inputs!$B$13)*(1+$A8)+Scenarios!$B$33*(1+$A8)^3*(1+B$5)^2*B$5*Inputs!$B$13)+Scenarios!$B$36*(1+Inputs!$C$35)^3*Inputs!$B$12))/5*Inputs!$C$36+Scenarios!E44)/Inputs!$B$6</f>
        <v/>
      </c>
      <c r="C8" s="6">
        <f>(((Inputs!$B$18)+(Inputs!$B$8+Inputs!$B$9)+((Scenarios!$B$34*(1+$A8)+Scenarios!$B$33*(1+$A8)^1*(1+C$5)^0*C$5*Inputs!$B$13)+Scenarios!$B$36*(1+Inputs!$C$35)^1*Inputs!$B$12)+(((Scenarios!$B$34*(1+$A8)+Scenarios!$B$33*(1+$A8)^1*(1+C$5)^0*C$5*Inputs!$B$13)*(1+$A8)+Scenarios!$B$33*(1+$A8)^2*(1+C$5)^1*C$5*Inputs!$B$13)+Scenarios!$B$36*(1+Inputs!$C$35)^2*Inputs!$B$12)+((((Scenarios!$B$34*(1+$A8)+Scenarios!$B$33*(1+$A8)^1*(1+C$5)^0*C$5*Inputs!$B$13)*(1+$A8)+Scenarios!$B$33*(1+$A8)^2*(1+C$5)^1*C$5*Inputs!$B$13)*(1+$A8)+Scenarios!$B$33*(1+$A8)^3*(1+C$5)^2*C$5*Inputs!$B$13)+Scenarios!$B$36*(1+Inputs!$C$35)^3*Inputs!$B$12))/5*Inputs!$C$36+Scenarios!E44)/Inputs!$B$6</f>
        <v/>
      </c>
      <c r="D8" s="6">
        <f>(((Inputs!$B$18)+(Inputs!$B$8+Inputs!$B$9)+((Scenarios!$B$34*(1+$A8)+Scenarios!$B$33*(1+$A8)^1*(1+D$5)^0*D$5*Inputs!$B$13)+Scenarios!$B$36*(1+Inputs!$C$35)^1*Inputs!$B$12)+(((Scenarios!$B$34*(1+$A8)+Scenarios!$B$33*(1+$A8)^1*(1+D$5)^0*D$5*Inputs!$B$13)*(1+$A8)+Scenarios!$B$33*(1+$A8)^2*(1+D$5)^1*D$5*Inputs!$B$13)+Scenarios!$B$36*(1+Inputs!$C$35)^2*Inputs!$B$12)+((((Scenarios!$B$34*(1+$A8)+Scenarios!$B$33*(1+$A8)^1*(1+D$5)^0*D$5*Inputs!$B$13)*(1+$A8)+Scenarios!$B$33*(1+$A8)^2*(1+D$5)^1*D$5*Inputs!$B$13)*(1+$A8)+Scenarios!$B$33*(1+$A8)^3*(1+D$5)^2*D$5*Inputs!$B$13)+Scenarios!$B$36*(1+Inputs!$C$35)^3*Inputs!$B$12))/5*Inputs!$C$36+Scenarios!E44)/Inputs!$B$6</f>
        <v/>
      </c>
      <c r="E8" s="6">
        <f>(((Inputs!$B$18)+(Inputs!$B$8+Inputs!$B$9)+((Scenarios!$B$34*(1+$A8)+Scenarios!$B$33*(1+$A8)^1*(1+E$5)^0*E$5*Inputs!$B$13)+Scenarios!$B$36*(1+Inputs!$C$35)^1*Inputs!$B$12)+(((Scenarios!$B$34*(1+$A8)+Scenarios!$B$33*(1+$A8)^1*(1+E$5)^0*E$5*Inputs!$B$13)*(1+$A8)+Scenarios!$B$33*(1+$A8)^2*(1+E$5)^1*E$5*Inputs!$B$13)+Scenarios!$B$36*(1+Inputs!$C$35)^2*Inputs!$B$12)+((((Scenarios!$B$34*(1+$A8)+Scenarios!$B$33*(1+$A8)^1*(1+E$5)^0*E$5*Inputs!$B$13)*(1+$A8)+Scenarios!$B$33*(1+$A8)^2*(1+E$5)^1*E$5*Inputs!$B$13)*(1+$A8)+Scenarios!$B$33*(1+$A8)^3*(1+E$5)^2*E$5*Inputs!$B$13)+Scenarios!$B$36*(1+Inputs!$C$35)^3*Inputs!$B$12))/5*Inputs!$C$36+Scenarios!E44)/Inputs!$B$6</f>
        <v/>
      </c>
      <c r="F8" s="6">
        <f>(((Inputs!$B$18)+(Inputs!$B$8+Inputs!$B$9)+((Scenarios!$B$34*(1+$A8)+Scenarios!$B$33*(1+$A8)^1*(1+F$5)^0*F$5*Inputs!$B$13)+Scenarios!$B$36*(1+Inputs!$C$35)^1*Inputs!$B$12)+(((Scenarios!$B$34*(1+$A8)+Scenarios!$B$33*(1+$A8)^1*(1+F$5)^0*F$5*Inputs!$B$13)*(1+$A8)+Scenarios!$B$33*(1+$A8)^2*(1+F$5)^1*F$5*Inputs!$B$13)+Scenarios!$B$36*(1+Inputs!$C$35)^2*Inputs!$B$12)+((((Scenarios!$B$34*(1+$A8)+Scenarios!$B$33*(1+$A8)^1*(1+F$5)^0*F$5*Inputs!$B$13)*(1+$A8)+Scenarios!$B$33*(1+$A8)^2*(1+F$5)^1*F$5*Inputs!$B$13)*(1+$A8)+Scenarios!$B$33*(1+$A8)^3*(1+F$5)^2*F$5*Inputs!$B$13)+Scenarios!$B$36*(1+Inputs!$C$35)^3*Inputs!$B$12))/5*Inputs!$C$36+Scenarios!E44)/Inputs!$B$6</f>
        <v/>
      </c>
      <c r="G8" s="6">
        <f>(((Inputs!$B$18)+(Inputs!$B$8+Inputs!$B$9)+((Scenarios!$B$34*(1+$A8)+Scenarios!$B$33*(1+$A8)^1*(1+G$5)^0*G$5*Inputs!$B$13)+Scenarios!$B$36*(1+Inputs!$C$35)^1*Inputs!$B$12)+(((Scenarios!$B$34*(1+$A8)+Scenarios!$B$33*(1+$A8)^1*(1+G$5)^0*G$5*Inputs!$B$13)*(1+$A8)+Scenarios!$B$33*(1+$A8)^2*(1+G$5)^1*G$5*Inputs!$B$13)+Scenarios!$B$36*(1+Inputs!$C$35)^2*Inputs!$B$12)+((((Scenarios!$B$34*(1+$A8)+Scenarios!$B$33*(1+$A8)^1*(1+G$5)^0*G$5*Inputs!$B$13)*(1+$A8)+Scenarios!$B$33*(1+$A8)^2*(1+G$5)^1*G$5*Inputs!$B$13)*(1+$A8)+Scenarios!$B$33*(1+$A8)^3*(1+G$5)^2*G$5*Inputs!$B$13)+Scenarios!$B$36*(1+Inputs!$C$35)^3*Inputs!$B$12))/5*Inputs!$C$36+Scenarios!E44)/Inputs!$B$6</f>
        <v/>
      </c>
      <c r="H8" s="6">
        <f>(((Inputs!$B$18)+(Inputs!$B$8+Inputs!$B$9)+((Scenarios!$B$34*(1+$A8)+Scenarios!$B$33*(1+$A8)^1*(1+H$5)^0*H$5*Inputs!$B$13)+Scenarios!$B$36*(1+Inputs!$C$35)^1*Inputs!$B$12)+(((Scenarios!$B$34*(1+$A8)+Scenarios!$B$33*(1+$A8)^1*(1+H$5)^0*H$5*Inputs!$B$13)*(1+$A8)+Scenarios!$B$33*(1+$A8)^2*(1+H$5)^1*H$5*Inputs!$B$13)+Scenarios!$B$36*(1+Inputs!$C$35)^2*Inputs!$B$12)+((((Scenarios!$B$34*(1+$A8)+Scenarios!$B$33*(1+$A8)^1*(1+H$5)^0*H$5*Inputs!$B$13)*(1+$A8)+Scenarios!$B$33*(1+$A8)^2*(1+H$5)^1*H$5*Inputs!$B$13)*(1+$A8)+Scenarios!$B$33*(1+$A8)^3*(1+H$5)^2*H$5*Inputs!$B$13)+Scenarios!$B$36*(1+Inputs!$C$35)^3*Inputs!$B$12))/5*Inputs!$C$36+Scenarios!E44)/Inputs!$B$6</f>
        <v/>
      </c>
    </row>
    <row r="9">
      <c r="A9" s="19" t="n">
        <v>0.1</v>
      </c>
      <c r="B9" s="6">
        <f>(((Inputs!$B$18)+(Inputs!$B$8+Inputs!$B$9)+((Scenarios!$B$34*(1+$A9)+Scenarios!$B$33*(1+$A9)^1*(1+B$5)^0*B$5*Inputs!$B$13)+Scenarios!$B$36*(1+Inputs!$C$35)^1*Inputs!$B$12)+(((Scenarios!$B$34*(1+$A9)+Scenarios!$B$33*(1+$A9)^1*(1+B$5)^0*B$5*Inputs!$B$13)*(1+$A9)+Scenarios!$B$33*(1+$A9)^2*(1+B$5)^1*B$5*Inputs!$B$13)+Scenarios!$B$36*(1+Inputs!$C$35)^2*Inputs!$B$12)+((((Scenarios!$B$34*(1+$A9)+Scenarios!$B$33*(1+$A9)^1*(1+B$5)^0*B$5*Inputs!$B$13)*(1+$A9)+Scenarios!$B$33*(1+$A9)^2*(1+B$5)^1*B$5*Inputs!$B$13)*(1+$A9)+Scenarios!$B$33*(1+$A9)^3*(1+B$5)^2*B$5*Inputs!$B$13)+Scenarios!$B$36*(1+Inputs!$C$35)^3*Inputs!$B$12))/5*Inputs!$C$36+Scenarios!E44)/Inputs!$B$6</f>
        <v/>
      </c>
      <c r="C9" s="6">
        <f>(((Inputs!$B$18)+(Inputs!$B$8+Inputs!$B$9)+((Scenarios!$B$34*(1+$A9)+Scenarios!$B$33*(1+$A9)^1*(1+C$5)^0*C$5*Inputs!$B$13)+Scenarios!$B$36*(1+Inputs!$C$35)^1*Inputs!$B$12)+(((Scenarios!$B$34*(1+$A9)+Scenarios!$B$33*(1+$A9)^1*(1+C$5)^0*C$5*Inputs!$B$13)*(1+$A9)+Scenarios!$B$33*(1+$A9)^2*(1+C$5)^1*C$5*Inputs!$B$13)+Scenarios!$B$36*(1+Inputs!$C$35)^2*Inputs!$B$12)+((((Scenarios!$B$34*(1+$A9)+Scenarios!$B$33*(1+$A9)^1*(1+C$5)^0*C$5*Inputs!$B$13)*(1+$A9)+Scenarios!$B$33*(1+$A9)^2*(1+C$5)^1*C$5*Inputs!$B$13)*(1+$A9)+Scenarios!$B$33*(1+$A9)^3*(1+C$5)^2*C$5*Inputs!$B$13)+Scenarios!$B$36*(1+Inputs!$C$35)^3*Inputs!$B$12))/5*Inputs!$C$36+Scenarios!E44)/Inputs!$B$6</f>
        <v/>
      </c>
      <c r="D9" s="6">
        <f>(((Inputs!$B$18)+(Inputs!$B$8+Inputs!$B$9)+((Scenarios!$B$34*(1+$A9)+Scenarios!$B$33*(1+$A9)^1*(1+D$5)^0*D$5*Inputs!$B$13)+Scenarios!$B$36*(1+Inputs!$C$35)^1*Inputs!$B$12)+(((Scenarios!$B$34*(1+$A9)+Scenarios!$B$33*(1+$A9)^1*(1+D$5)^0*D$5*Inputs!$B$13)*(1+$A9)+Scenarios!$B$33*(1+$A9)^2*(1+D$5)^1*D$5*Inputs!$B$13)+Scenarios!$B$36*(1+Inputs!$C$35)^2*Inputs!$B$12)+((((Scenarios!$B$34*(1+$A9)+Scenarios!$B$33*(1+$A9)^1*(1+D$5)^0*D$5*Inputs!$B$13)*(1+$A9)+Scenarios!$B$33*(1+$A9)^2*(1+D$5)^1*D$5*Inputs!$B$13)*(1+$A9)+Scenarios!$B$33*(1+$A9)^3*(1+D$5)^2*D$5*Inputs!$B$13)+Scenarios!$B$36*(1+Inputs!$C$35)^3*Inputs!$B$12))/5*Inputs!$C$36+Scenarios!E44)/Inputs!$B$6</f>
        <v/>
      </c>
      <c r="E9" s="6">
        <f>(((Inputs!$B$18)+(Inputs!$B$8+Inputs!$B$9)+((Scenarios!$B$34*(1+$A9)+Scenarios!$B$33*(1+$A9)^1*(1+E$5)^0*E$5*Inputs!$B$13)+Scenarios!$B$36*(1+Inputs!$C$35)^1*Inputs!$B$12)+(((Scenarios!$B$34*(1+$A9)+Scenarios!$B$33*(1+$A9)^1*(1+E$5)^0*E$5*Inputs!$B$13)*(1+$A9)+Scenarios!$B$33*(1+$A9)^2*(1+E$5)^1*E$5*Inputs!$B$13)+Scenarios!$B$36*(1+Inputs!$C$35)^2*Inputs!$B$12)+((((Scenarios!$B$34*(1+$A9)+Scenarios!$B$33*(1+$A9)^1*(1+E$5)^0*E$5*Inputs!$B$13)*(1+$A9)+Scenarios!$B$33*(1+$A9)^2*(1+E$5)^1*E$5*Inputs!$B$13)*(1+$A9)+Scenarios!$B$33*(1+$A9)^3*(1+E$5)^2*E$5*Inputs!$B$13)+Scenarios!$B$36*(1+Inputs!$C$35)^3*Inputs!$B$12))/5*Inputs!$C$36+Scenarios!E44)/Inputs!$B$6</f>
        <v/>
      </c>
      <c r="F9" s="6">
        <f>(((Inputs!$B$18)+(Inputs!$B$8+Inputs!$B$9)+((Scenarios!$B$34*(1+$A9)+Scenarios!$B$33*(1+$A9)^1*(1+F$5)^0*F$5*Inputs!$B$13)+Scenarios!$B$36*(1+Inputs!$C$35)^1*Inputs!$B$12)+(((Scenarios!$B$34*(1+$A9)+Scenarios!$B$33*(1+$A9)^1*(1+F$5)^0*F$5*Inputs!$B$13)*(1+$A9)+Scenarios!$B$33*(1+$A9)^2*(1+F$5)^1*F$5*Inputs!$B$13)+Scenarios!$B$36*(1+Inputs!$C$35)^2*Inputs!$B$12)+((((Scenarios!$B$34*(1+$A9)+Scenarios!$B$33*(1+$A9)^1*(1+F$5)^0*F$5*Inputs!$B$13)*(1+$A9)+Scenarios!$B$33*(1+$A9)^2*(1+F$5)^1*F$5*Inputs!$B$13)*(1+$A9)+Scenarios!$B$33*(1+$A9)^3*(1+F$5)^2*F$5*Inputs!$B$13)+Scenarios!$B$36*(1+Inputs!$C$35)^3*Inputs!$B$12))/5*Inputs!$C$36+Scenarios!E44)/Inputs!$B$6</f>
        <v/>
      </c>
      <c r="G9" s="6">
        <f>(((Inputs!$B$18)+(Inputs!$B$8+Inputs!$B$9)+((Scenarios!$B$34*(1+$A9)+Scenarios!$B$33*(1+$A9)^1*(1+G$5)^0*G$5*Inputs!$B$13)+Scenarios!$B$36*(1+Inputs!$C$35)^1*Inputs!$B$12)+(((Scenarios!$B$34*(1+$A9)+Scenarios!$B$33*(1+$A9)^1*(1+G$5)^0*G$5*Inputs!$B$13)*(1+$A9)+Scenarios!$B$33*(1+$A9)^2*(1+G$5)^1*G$5*Inputs!$B$13)+Scenarios!$B$36*(1+Inputs!$C$35)^2*Inputs!$B$12)+((((Scenarios!$B$34*(1+$A9)+Scenarios!$B$33*(1+$A9)^1*(1+G$5)^0*G$5*Inputs!$B$13)*(1+$A9)+Scenarios!$B$33*(1+$A9)^2*(1+G$5)^1*G$5*Inputs!$B$13)*(1+$A9)+Scenarios!$B$33*(1+$A9)^3*(1+G$5)^2*G$5*Inputs!$B$13)+Scenarios!$B$36*(1+Inputs!$C$35)^3*Inputs!$B$12))/5*Inputs!$C$36+Scenarios!E44)/Inputs!$B$6</f>
        <v/>
      </c>
      <c r="H9" s="6">
        <f>(((Inputs!$B$18)+(Inputs!$B$8+Inputs!$B$9)+((Scenarios!$B$34*(1+$A9)+Scenarios!$B$33*(1+$A9)^1*(1+H$5)^0*H$5*Inputs!$B$13)+Scenarios!$B$36*(1+Inputs!$C$35)^1*Inputs!$B$12)+(((Scenarios!$B$34*(1+$A9)+Scenarios!$B$33*(1+$A9)^1*(1+H$5)^0*H$5*Inputs!$B$13)*(1+$A9)+Scenarios!$B$33*(1+$A9)^2*(1+H$5)^1*H$5*Inputs!$B$13)+Scenarios!$B$36*(1+Inputs!$C$35)^2*Inputs!$B$12)+((((Scenarios!$B$34*(1+$A9)+Scenarios!$B$33*(1+$A9)^1*(1+H$5)^0*H$5*Inputs!$B$13)*(1+$A9)+Scenarios!$B$33*(1+$A9)^2*(1+H$5)^1*H$5*Inputs!$B$13)*(1+$A9)+Scenarios!$B$33*(1+$A9)^3*(1+H$5)^2*H$5*Inputs!$B$13)+Scenarios!$B$36*(1+Inputs!$C$35)^3*Inputs!$B$12))/5*Inputs!$C$36+Scenarios!E44)/Inputs!$B$6</f>
        <v/>
      </c>
    </row>
    <row r="10">
      <c r="A10" s="19" t="n">
        <v>0.15</v>
      </c>
      <c r="B10" s="6">
        <f>(((Inputs!$B$18)+(Inputs!$B$8+Inputs!$B$9)+((Scenarios!$B$34*(1+$A10)+Scenarios!$B$33*(1+$A10)^1*(1+B$5)^0*B$5*Inputs!$B$13)+Scenarios!$B$36*(1+Inputs!$C$35)^1*Inputs!$B$12)+(((Scenarios!$B$34*(1+$A10)+Scenarios!$B$33*(1+$A10)^1*(1+B$5)^0*B$5*Inputs!$B$13)*(1+$A10)+Scenarios!$B$33*(1+$A10)^2*(1+B$5)^1*B$5*Inputs!$B$13)+Scenarios!$B$36*(1+Inputs!$C$35)^2*Inputs!$B$12)+((((Scenarios!$B$34*(1+$A10)+Scenarios!$B$33*(1+$A10)^1*(1+B$5)^0*B$5*Inputs!$B$13)*(1+$A10)+Scenarios!$B$33*(1+$A10)^2*(1+B$5)^1*B$5*Inputs!$B$13)*(1+$A10)+Scenarios!$B$33*(1+$A10)^3*(1+B$5)^2*B$5*Inputs!$B$13)+Scenarios!$B$36*(1+Inputs!$C$35)^3*Inputs!$B$12))/5*Inputs!$C$36+Scenarios!E44)/Inputs!$B$6</f>
        <v/>
      </c>
      <c r="C10" s="6">
        <f>(((Inputs!$B$18)+(Inputs!$B$8+Inputs!$B$9)+((Scenarios!$B$34*(1+$A10)+Scenarios!$B$33*(1+$A10)^1*(1+C$5)^0*C$5*Inputs!$B$13)+Scenarios!$B$36*(1+Inputs!$C$35)^1*Inputs!$B$12)+(((Scenarios!$B$34*(1+$A10)+Scenarios!$B$33*(1+$A10)^1*(1+C$5)^0*C$5*Inputs!$B$13)*(1+$A10)+Scenarios!$B$33*(1+$A10)^2*(1+C$5)^1*C$5*Inputs!$B$13)+Scenarios!$B$36*(1+Inputs!$C$35)^2*Inputs!$B$12)+((((Scenarios!$B$34*(1+$A10)+Scenarios!$B$33*(1+$A10)^1*(1+C$5)^0*C$5*Inputs!$B$13)*(1+$A10)+Scenarios!$B$33*(1+$A10)^2*(1+C$5)^1*C$5*Inputs!$B$13)*(1+$A10)+Scenarios!$B$33*(1+$A10)^3*(1+C$5)^2*C$5*Inputs!$B$13)+Scenarios!$B$36*(1+Inputs!$C$35)^3*Inputs!$B$12))/5*Inputs!$C$36+Scenarios!E44)/Inputs!$B$6</f>
        <v/>
      </c>
      <c r="D10" s="6">
        <f>(((Inputs!$B$18)+(Inputs!$B$8+Inputs!$B$9)+((Scenarios!$B$34*(1+$A10)+Scenarios!$B$33*(1+$A10)^1*(1+D$5)^0*D$5*Inputs!$B$13)+Scenarios!$B$36*(1+Inputs!$C$35)^1*Inputs!$B$12)+(((Scenarios!$B$34*(1+$A10)+Scenarios!$B$33*(1+$A10)^1*(1+D$5)^0*D$5*Inputs!$B$13)*(1+$A10)+Scenarios!$B$33*(1+$A10)^2*(1+D$5)^1*D$5*Inputs!$B$13)+Scenarios!$B$36*(1+Inputs!$C$35)^2*Inputs!$B$12)+((((Scenarios!$B$34*(1+$A10)+Scenarios!$B$33*(1+$A10)^1*(1+D$5)^0*D$5*Inputs!$B$13)*(1+$A10)+Scenarios!$B$33*(1+$A10)^2*(1+D$5)^1*D$5*Inputs!$B$13)*(1+$A10)+Scenarios!$B$33*(1+$A10)^3*(1+D$5)^2*D$5*Inputs!$B$13)+Scenarios!$B$36*(1+Inputs!$C$35)^3*Inputs!$B$12))/5*Inputs!$C$36+Scenarios!E44)/Inputs!$B$6</f>
        <v/>
      </c>
      <c r="E10" s="6">
        <f>(((Inputs!$B$18)+(Inputs!$B$8+Inputs!$B$9)+((Scenarios!$B$34*(1+$A10)+Scenarios!$B$33*(1+$A10)^1*(1+E$5)^0*E$5*Inputs!$B$13)+Scenarios!$B$36*(1+Inputs!$C$35)^1*Inputs!$B$12)+(((Scenarios!$B$34*(1+$A10)+Scenarios!$B$33*(1+$A10)^1*(1+E$5)^0*E$5*Inputs!$B$13)*(1+$A10)+Scenarios!$B$33*(1+$A10)^2*(1+E$5)^1*E$5*Inputs!$B$13)+Scenarios!$B$36*(1+Inputs!$C$35)^2*Inputs!$B$12)+((((Scenarios!$B$34*(1+$A10)+Scenarios!$B$33*(1+$A10)^1*(1+E$5)^0*E$5*Inputs!$B$13)*(1+$A10)+Scenarios!$B$33*(1+$A10)^2*(1+E$5)^1*E$5*Inputs!$B$13)*(1+$A10)+Scenarios!$B$33*(1+$A10)^3*(1+E$5)^2*E$5*Inputs!$B$13)+Scenarios!$B$36*(1+Inputs!$C$35)^3*Inputs!$B$12))/5*Inputs!$C$36+Scenarios!E44)/Inputs!$B$6</f>
        <v/>
      </c>
      <c r="F10" s="6">
        <f>(((Inputs!$B$18)+(Inputs!$B$8+Inputs!$B$9)+((Scenarios!$B$34*(1+$A10)+Scenarios!$B$33*(1+$A10)^1*(1+F$5)^0*F$5*Inputs!$B$13)+Scenarios!$B$36*(1+Inputs!$C$35)^1*Inputs!$B$12)+(((Scenarios!$B$34*(1+$A10)+Scenarios!$B$33*(1+$A10)^1*(1+F$5)^0*F$5*Inputs!$B$13)*(1+$A10)+Scenarios!$B$33*(1+$A10)^2*(1+F$5)^1*F$5*Inputs!$B$13)+Scenarios!$B$36*(1+Inputs!$C$35)^2*Inputs!$B$12)+((((Scenarios!$B$34*(1+$A10)+Scenarios!$B$33*(1+$A10)^1*(1+F$5)^0*F$5*Inputs!$B$13)*(1+$A10)+Scenarios!$B$33*(1+$A10)^2*(1+F$5)^1*F$5*Inputs!$B$13)*(1+$A10)+Scenarios!$B$33*(1+$A10)^3*(1+F$5)^2*F$5*Inputs!$B$13)+Scenarios!$B$36*(1+Inputs!$C$35)^3*Inputs!$B$12))/5*Inputs!$C$36+Scenarios!E44)/Inputs!$B$6</f>
        <v/>
      </c>
      <c r="G10" s="6">
        <f>(((Inputs!$B$18)+(Inputs!$B$8+Inputs!$B$9)+((Scenarios!$B$34*(1+$A10)+Scenarios!$B$33*(1+$A10)^1*(1+G$5)^0*G$5*Inputs!$B$13)+Scenarios!$B$36*(1+Inputs!$C$35)^1*Inputs!$B$12)+(((Scenarios!$B$34*(1+$A10)+Scenarios!$B$33*(1+$A10)^1*(1+G$5)^0*G$5*Inputs!$B$13)*(1+$A10)+Scenarios!$B$33*(1+$A10)^2*(1+G$5)^1*G$5*Inputs!$B$13)+Scenarios!$B$36*(1+Inputs!$C$35)^2*Inputs!$B$12)+((((Scenarios!$B$34*(1+$A10)+Scenarios!$B$33*(1+$A10)^1*(1+G$5)^0*G$5*Inputs!$B$13)*(1+$A10)+Scenarios!$B$33*(1+$A10)^2*(1+G$5)^1*G$5*Inputs!$B$13)*(1+$A10)+Scenarios!$B$33*(1+$A10)^3*(1+G$5)^2*G$5*Inputs!$B$13)+Scenarios!$B$36*(1+Inputs!$C$35)^3*Inputs!$B$12))/5*Inputs!$C$36+Scenarios!E44)/Inputs!$B$6</f>
        <v/>
      </c>
      <c r="H10" s="6">
        <f>(((Inputs!$B$18)+(Inputs!$B$8+Inputs!$B$9)+((Scenarios!$B$34*(1+$A10)+Scenarios!$B$33*(1+$A10)^1*(1+H$5)^0*H$5*Inputs!$B$13)+Scenarios!$B$36*(1+Inputs!$C$35)^1*Inputs!$B$12)+(((Scenarios!$B$34*(1+$A10)+Scenarios!$B$33*(1+$A10)^1*(1+H$5)^0*H$5*Inputs!$B$13)*(1+$A10)+Scenarios!$B$33*(1+$A10)^2*(1+H$5)^1*H$5*Inputs!$B$13)+Scenarios!$B$36*(1+Inputs!$C$35)^2*Inputs!$B$12)+((((Scenarios!$B$34*(1+$A10)+Scenarios!$B$33*(1+$A10)^1*(1+H$5)^0*H$5*Inputs!$B$13)*(1+$A10)+Scenarios!$B$33*(1+$A10)^2*(1+H$5)^1*H$5*Inputs!$B$13)*(1+$A10)+Scenarios!$B$33*(1+$A10)^3*(1+H$5)^2*H$5*Inputs!$B$13)+Scenarios!$B$36*(1+Inputs!$C$35)^3*Inputs!$B$12))/5*Inputs!$C$36+Scenarios!E44)/Inputs!$B$6</f>
        <v/>
      </c>
    </row>
    <row r="11">
      <c r="A11" s="19" t="n">
        <v>0.2</v>
      </c>
      <c r="B11" s="6">
        <f>(((Inputs!$B$18)+(Inputs!$B$8+Inputs!$B$9)+((Scenarios!$B$34*(1+$A11)+Scenarios!$B$33*(1+$A11)^1*(1+B$5)^0*B$5*Inputs!$B$13)+Scenarios!$B$36*(1+Inputs!$C$35)^1*Inputs!$B$12)+(((Scenarios!$B$34*(1+$A11)+Scenarios!$B$33*(1+$A11)^1*(1+B$5)^0*B$5*Inputs!$B$13)*(1+$A11)+Scenarios!$B$33*(1+$A11)^2*(1+B$5)^1*B$5*Inputs!$B$13)+Scenarios!$B$36*(1+Inputs!$C$35)^2*Inputs!$B$12)+((((Scenarios!$B$34*(1+$A11)+Scenarios!$B$33*(1+$A11)^1*(1+B$5)^0*B$5*Inputs!$B$13)*(1+$A11)+Scenarios!$B$33*(1+$A11)^2*(1+B$5)^1*B$5*Inputs!$B$13)*(1+$A11)+Scenarios!$B$33*(1+$A11)^3*(1+B$5)^2*B$5*Inputs!$B$13)+Scenarios!$B$36*(1+Inputs!$C$35)^3*Inputs!$B$12))/5*Inputs!$C$36+Scenarios!E44)/Inputs!$B$6</f>
        <v/>
      </c>
      <c r="C11" s="6">
        <f>(((Inputs!$B$18)+(Inputs!$B$8+Inputs!$B$9)+((Scenarios!$B$34*(1+$A11)+Scenarios!$B$33*(1+$A11)^1*(1+C$5)^0*C$5*Inputs!$B$13)+Scenarios!$B$36*(1+Inputs!$C$35)^1*Inputs!$B$12)+(((Scenarios!$B$34*(1+$A11)+Scenarios!$B$33*(1+$A11)^1*(1+C$5)^0*C$5*Inputs!$B$13)*(1+$A11)+Scenarios!$B$33*(1+$A11)^2*(1+C$5)^1*C$5*Inputs!$B$13)+Scenarios!$B$36*(1+Inputs!$C$35)^2*Inputs!$B$12)+((((Scenarios!$B$34*(1+$A11)+Scenarios!$B$33*(1+$A11)^1*(1+C$5)^0*C$5*Inputs!$B$13)*(1+$A11)+Scenarios!$B$33*(1+$A11)^2*(1+C$5)^1*C$5*Inputs!$B$13)*(1+$A11)+Scenarios!$B$33*(1+$A11)^3*(1+C$5)^2*C$5*Inputs!$B$13)+Scenarios!$B$36*(1+Inputs!$C$35)^3*Inputs!$B$12))/5*Inputs!$C$36+Scenarios!E44)/Inputs!$B$6</f>
        <v/>
      </c>
      <c r="D11" s="6">
        <f>(((Inputs!$B$18)+(Inputs!$B$8+Inputs!$B$9)+((Scenarios!$B$34*(1+$A11)+Scenarios!$B$33*(1+$A11)^1*(1+D$5)^0*D$5*Inputs!$B$13)+Scenarios!$B$36*(1+Inputs!$C$35)^1*Inputs!$B$12)+(((Scenarios!$B$34*(1+$A11)+Scenarios!$B$33*(1+$A11)^1*(1+D$5)^0*D$5*Inputs!$B$13)*(1+$A11)+Scenarios!$B$33*(1+$A11)^2*(1+D$5)^1*D$5*Inputs!$B$13)+Scenarios!$B$36*(1+Inputs!$C$35)^2*Inputs!$B$12)+((((Scenarios!$B$34*(1+$A11)+Scenarios!$B$33*(1+$A11)^1*(1+D$5)^0*D$5*Inputs!$B$13)*(1+$A11)+Scenarios!$B$33*(1+$A11)^2*(1+D$5)^1*D$5*Inputs!$B$13)*(1+$A11)+Scenarios!$B$33*(1+$A11)^3*(1+D$5)^2*D$5*Inputs!$B$13)+Scenarios!$B$36*(1+Inputs!$C$35)^3*Inputs!$B$12))/5*Inputs!$C$36+Scenarios!E44)/Inputs!$B$6</f>
        <v/>
      </c>
      <c r="E11" s="6">
        <f>(((Inputs!$B$18)+(Inputs!$B$8+Inputs!$B$9)+((Scenarios!$B$34*(1+$A11)+Scenarios!$B$33*(1+$A11)^1*(1+E$5)^0*E$5*Inputs!$B$13)+Scenarios!$B$36*(1+Inputs!$C$35)^1*Inputs!$B$12)+(((Scenarios!$B$34*(1+$A11)+Scenarios!$B$33*(1+$A11)^1*(1+E$5)^0*E$5*Inputs!$B$13)*(1+$A11)+Scenarios!$B$33*(1+$A11)^2*(1+E$5)^1*E$5*Inputs!$B$13)+Scenarios!$B$36*(1+Inputs!$C$35)^2*Inputs!$B$12)+((((Scenarios!$B$34*(1+$A11)+Scenarios!$B$33*(1+$A11)^1*(1+E$5)^0*E$5*Inputs!$B$13)*(1+$A11)+Scenarios!$B$33*(1+$A11)^2*(1+E$5)^1*E$5*Inputs!$B$13)*(1+$A11)+Scenarios!$B$33*(1+$A11)^3*(1+E$5)^2*E$5*Inputs!$B$13)+Scenarios!$B$36*(1+Inputs!$C$35)^3*Inputs!$B$12))/5*Inputs!$C$36+Scenarios!E44)/Inputs!$B$6</f>
        <v/>
      </c>
      <c r="F11" s="6">
        <f>(((Inputs!$B$18)+(Inputs!$B$8+Inputs!$B$9)+((Scenarios!$B$34*(1+$A11)+Scenarios!$B$33*(1+$A11)^1*(1+F$5)^0*F$5*Inputs!$B$13)+Scenarios!$B$36*(1+Inputs!$C$35)^1*Inputs!$B$12)+(((Scenarios!$B$34*(1+$A11)+Scenarios!$B$33*(1+$A11)^1*(1+F$5)^0*F$5*Inputs!$B$13)*(1+$A11)+Scenarios!$B$33*(1+$A11)^2*(1+F$5)^1*F$5*Inputs!$B$13)+Scenarios!$B$36*(1+Inputs!$C$35)^2*Inputs!$B$12)+((((Scenarios!$B$34*(1+$A11)+Scenarios!$B$33*(1+$A11)^1*(1+F$5)^0*F$5*Inputs!$B$13)*(1+$A11)+Scenarios!$B$33*(1+$A11)^2*(1+F$5)^1*F$5*Inputs!$B$13)*(1+$A11)+Scenarios!$B$33*(1+$A11)^3*(1+F$5)^2*F$5*Inputs!$B$13)+Scenarios!$B$36*(1+Inputs!$C$35)^3*Inputs!$B$12))/5*Inputs!$C$36+Scenarios!E44)/Inputs!$B$6</f>
        <v/>
      </c>
      <c r="G11" s="6">
        <f>(((Inputs!$B$18)+(Inputs!$B$8+Inputs!$B$9)+((Scenarios!$B$34*(1+$A11)+Scenarios!$B$33*(1+$A11)^1*(1+G$5)^0*G$5*Inputs!$B$13)+Scenarios!$B$36*(1+Inputs!$C$35)^1*Inputs!$B$12)+(((Scenarios!$B$34*(1+$A11)+Scenarios!$B$33*(1+$A11)^1*(1+G$5)^0*G$5*Inputs!$B$13)*(1+$A11)+Scenarios!$B$33*(1+$A11)^2*(1+G$5)^1*G$5*Inputs!$B$13)+Scenarios!$B$36*(1+Inputs!$C$35)^2*Inputs!$B$12)+((((Scenarios!$B$34*(1+$A11)+Scenarios!$B$33*(1+$A11)^1*(1+G$5)^0*G$5*Inputs!$B$13)*(1+$A11)+Scenarios!$B$33*(1+$A11)^2*(1+G$5)^1*G$5*Inputs!$B$13)*(1+$A11)+Scenarios!$B$33*(1+$A11)^3*(1+G$5)^2*G$5*Inputs!$B$13)+Scenarios!$B$36*(1+Inputs!$C$35)^3*Inputs!$B$12))/5*Inputs!$C$36+Scenarios!E44)/Inputs!$B$6</f>
        <v/>
      </c>
      <c r="H11" s="6">
        <f>(((Inputs!$B$18)+(Inputs!$B$8+Inputs!$B$9)+((Scenarios!$B$34*(1+$A11)+Scenarios!$B$33*(1+$A11)^1*(1+H$5)^0*H$5*Inputs!$B$13)+Scenarios!$B$36*(1+Inputs!$C$35)^1*Inputs!$B$12)+(((Scenarios!$B$34*(1+$A11)+Scenarios!$B$33*(1+$A11)^1*(1+H$5)^0*H$5*Inputs!$B$13)*(1+$A11)+Scenarios!$B$33*(1+$A11)^2*(1+H$5)^1*H$5*Inputs!$B$13)+Scenarios!$B$36*(1+Inputs!$C$35)^2*Inputs!$B$12)+((((Scenarios!$B$34*(1+$A11)+Scenarios!$B$33*(1+$A11)^1*(1+H$5)^0*H$5*Inputs!$B$13)*(1+$A11)+Scenarios!$B$33*(1+$A11)^2*(1+H$5)^1*H$5*Inputs!$B$13)*(1+$A11)+Scenarios!$B$33*(1+$A11)^3*(1+H$5)^2*H$5*Inputs!$B$13)+Scenarios!$B$36*(1+Inputs!$C$35)^3*Inputs!$B$12))/5*Inputs!$C$36+Scenarios!E44)/Inputs!$B$6</f>
        <v/>
      </c>
    </row>
    <row r="13">
      <c r="A13" t="inlineStr">
        <is>
          <t>Net cash held at the Base-case Mar-2030 level in grid 1 (second-order effect). Current price for reference:</t>
        </is>
      </c>
      <c r="H13" s="6">
        <f>Inputs!$B$5</f>
        <v/>
      </c>
    </row>
    <row r="15">
      <c r="A15" s="14" t="inlineStr">
        <is>
          <t>Value per share at exit (JPY): rows = exit EV / 5-yr-mean EBITDA, columns = 5-yr mean EBITDA (JPY bn)</t>
        </is>
      </c>
    </row>
    <row r="16">
      <c r="A16" t="inlineStr">
        <is>
          <t>mult \ EBITDA</t>
        </is>
      </c>
      <c r="B16" s="11" t="n">
        <v>450</v>
      </c>
      <c r="C16" s="11" t="n">
        <v>500</v>
      </c>
      <c r="D16" s="11" t="n">
        <v>550</v>
      </c>
      <c r="E16" s="11" t="n">
        <v>600</v>
      </c>
      <c r="F16" s="11" t="n">
        <v>650</v>
      </c>
      <c r="G16" s="11" t="n">
        <v>700</v>
      </c>
      <c r="H16" s="11" t="n">
        <v>800</v>
      </c>
    </row>
    <row r="17">
      <c r="A17" s="11" t="n">
        <v>8</v>
      </c>
      <c r="B17" s="6">
        <f>($A17*B$16*1000+Scenarios!E44)/Inputs!$B$6</f>
        <v/>
      </c>
      <c r="C17" s="6">
        <f>($A17*C$16*1000+Scenarios!E44)/Inputs!$B$6</f>
        <v/>
      </c>
      <c r="D17" s="6">
        <f>($A17*D$16*1000+Scenarios!E44)/Inputs!$B$6</f>
        <v/>
      </c>
      <c r="E17" s="6">
        <f>($A17*E$16*1000+Scenarios!E44)/Inputs!$B$6</f>
        <v/>
      </c>
      <c r="F17" s="6">
        <f>($A17*F$16*1000+Scenarios!E44)/Inputs!$B$6</f>
        <v/>
      </c>
      <c r="G17" s="6">
        <f>($A17*G$16*1000+Scenarios!E44)/Inputs!$B$6</f>
        <v/>
      </c>
      <c r="H17" s="6">
        <f>($A17*H$16*1000+Scenarios!E44)/Inputs!$B$6</f>
        <v/>
      </c>
    </row>
    <row r="18">
      <c r="A18" s="11" t="n">
        <v>10.4</v>
      </c>
      <c r="B18" s="6">
        <f>($A18*B$16*1000+Scenarios!E44)/Inputs!$B$6</f>
        <v/>
      </c>
      <c r="C18" s="6">
        <f>($A18*C$16*1000+Scenarios!E44)/Inputs!$B$6</f>
        <v/>
      </c>
      <c r="D18" s="6">
        <f>($A18*D$16*1000+Scenarios!E44)/Inputs!$B$6</f>
        <v/>
      </c>
      <c r="E18" s="6">
        <f>($A18*E$16*1000+Scenarios!E44)/Inputs!$B$6</f>
        <v/>
      </c>
      <c r="F18" s="6">
        <f>($A18*F$16*1000+Scenarios!E44)/Inputs!$B$6</f>
        <v/>
      </c>
      <c r="G18" s="6">
        <f>($A18*G$16*1000+Scenarios!E44)/Inputs!$B$6</f>
        <v/>
      </c>
      <c r="H18" s="6">
        <f>($A18*H$16*1000+Scenarios!E44)/Inputs!$B$6</f>
        <v/>
      </c>
    </row>
    <row r="19">
      <c r="A19" s="11" t="n">
        <v>11.6</v>
      </c>
      <c r="B19" s="6">
        <f>($A19*B$16*1000+Scenarios!E44)/Inputs!$B$6</f>
        <v/>
      </c>
      <c r="C19" s="6">
        <f>($A19*C$16*1000+Scenarios!E44)/Inputs!$B$6</f>
        <v/>
      </c>
      <c r="D19" s="6">
        <f>($A19*D$16*1000+Scenarios!E44)/Inputs!$B$6</f>
        <v/>
      </c>
      <c r="E19" s="6">
        <f>($A19*E$16*1000+Scenarios!E44)/Inputs!$B$6</f>
        <v/>
      </c>
      <c r="F19" s="6">
        <f>($A19*F$16*1000+Scenarios!E44)/Inputs!$B$6</f>
        <v/>
      </c>
      <c r="G19" s="6">
        <f>($A19*G$16*1000+Scenarios!E44)/Inputs!$B$6</f>
        <v/>
      </c>
      <c r="H19" s="6">
        <f>($A19*H$16*1000+Scenarios!E44)/Inputs!$B$6</f>
        <v/>
      </c>
    </row>
    <row r="20">
      <c r="A20" s="11" t="n">
        <v>13.5</v>
      </c>
      <c r="B20" s="6">
        <f>($A20*B$16*1000+Scenarios!E44)/Inputs!$B$6</f>
        <v/>
      </c>
      <c r="C20" s="6">
        <f>($A20*C$16*1000+Scenarios!E44)/Inputs!$B$6</f>
        <v/>
      </c>
      <c r="D20" s="6">
        <f>($A20*D$16*1000+Scenarios!E44)/Inputs!$B$6</f>
        <v/>
      </c>
      <c r="E20" s="6">
        <f>($A20*E$16*1000+Scenarios!E44)/Inputs!$B$6</f>
        <v/>
      </c>
      <c r="F20" s="6">
        <f>($A20*F$16*1000+Scenarios!E44)/Inputs!$B$6</f>
        <v/>
      </c>
      <c r="G20" s="6">
        <f>($A20*G$16*1000+Scenarios!E44)/Inputs!$B$6</f>
        <v/>
      </c>
      <c r="H20" s="6">
        <f>($A20*H$16*1000+Scenarios!E44)/Inputs!$B$6</f>
        <v/>
      </c>
    </row>
    <row r="21">
      <c r="A21" s="11" t="n">
        <v>16</v>
      </c>
      <c r="B21" s="6">
        <f>($A21*B$16*1000+Scenarios!E44)/Inputs!$B$6</f>
        <v/>
      </c>
      <c r="C21" s="6">
        <f>($A21*C$16*1000+Scenarios!E44)/Inputs!$B$6</f>
        <v/>
      </c>
      <c r="D21" s="6">
        <f>($A21*D$16*1000+Scenarios!E44)/Inputs!$B$6</f>
        <v/>
      </c>
      <c r="E21" s="6">
        <f>($A21*E$16*1000+Scenarios!E44)/Inputs!$B$6</f>
        <v/>
      </c>
      <c r="F21" s="6">
        <f>($A21*F$16*1000+Scenarios!E44)/Inputs!$B$6</f>
        <v/>
      </c>
      <c r="G21" s="6">
        <f>($A21*G$16*1000+Scenarios!E44)/Inputs!$B$6</f>
        <v/>
      </c>
      <c r="H21" s="6">
        <f>($A21*H$16*1000+Scenarios!E44)/Inputs!$B$6</f>
        <v/>
      </c>
    </row>
    <row r="22">
      <c r="A22" s="11" t="n">
        <v>20</v>
      </c>
      <c r="B22" s="6">
        <f>($A22*B$16*1000+Scenarios!E44)/Inputs!$B$6</f>
        <v/>
      </c>
      <c r="C22" s="6">
        <f>($A22*C$16*1000+Scenarios!E44)/Inputs!$B$6</f>
        <v/>
      </c>
      <c r="D22" s="6">
        <f>($A22*D$16*1000+Scenarios!E44)/Inputs!$B$6</f>
        <v/>
      </c>
      <c r="E22" s="6">
        <f>($A22*E$16*1000+Scenarios!E44)/Inputs!$B$6</f>
        <v/>
      </c>
      <c r="F22" s="6">
        <f>($A22*F$16*1000+Scenarios!E44)/Inputs!$B$6</f>
        <v/>
      </c>
      <c r="G22" s="6">
        <f>($A22*G$16*1000+Scenarios!E44)/Inputs!$B$6</f>
        <v/>
      </c>
      <c r="H22" s="6">
        <f>($A22*H$16*1000+Scenarios!E44)/Inputs!$B$6</f>
        <v/>
      </c>
    </row>
    <row r="23">
      <c r="A23" s="11" t="n">
        <v>25</v>
      </c>
      <c r="B23" s="6">
        <f>($A23*B$16*1000+Scenarios!E44)/Inputs!$B$6</f>
        <v/>
      </c>
      <c r="C23" s="6">
        <f>($A23*C$16*1000+Scenarios!E44)/Inputs!$B$6</f>
        <v/>
      </c>
      <c r="D23" s="6">
        <f>($A23*D$16*1000+Scenarios!E44)/Inputs!$B$6</f>
        <v/>
      </c>
      <c r="E23" s="6">
        <f>($A23*E$16*1000+Scenarios!E44)/Inputs!$B$6</f>
        <v/>
      </c>
      <c r="F23" s="6">
        <f>($A23*F$16*1000+Scenarios!E44)/Inputs!$B$6</f>
        <v/>
      </c>
      <c r="G23" s="6">
        <f>($A23*G$16*1000+Scenarios!E44)/Inputs!$B$6</f>
        <v/>
      </c>
      <c r="H23" s="6">
        <f>($A23*H$16*1000+Scenarios!E44)/Inputs!$B$6</f>
        <v/>
      </c>
    </row>
    <row r="24">
      <c r="A24" s="11" t="n">
        <v>30</v>
      </c>
      <c r="B24" s="6">
        <f>($A24*B$16*1000+Scenarios!E44)/Inputs!$B$6</f>
        <v/>
      </c>
      <c r="C24" s="6">
        <f>($A24*C$16*1000+Scenarios!E44)/Inputs!$B$6</f>
        <v/>
      </c>
      <c r="D24" s="6">
        <f>($A24*D$16*1000+Scenarios!E44)/Inputs!$B$6</f>
        <v/>
      </c>
      <c r="E24" s="6">
        <f>($A24*E$16*1000+Scenarios!E44)/Inputs!$B$6</f>
        <v/>
      </c>
      <c r="F24" s="6">
        <f>($A24*F$16*1000+Scenarios!E44)/Inputs!$B$6</f>
        <v/>
      </c>
      <c r="G24" s="6">
        <f>($A24*G$16*1000+Scenarios!E44)/Inputs!$B$6</f>
        <v/>
      </c>
      <c r="H24" s="6">
        <f>($A24*H$16*1000+Scenarios!E44)/Inputs!$B$6</f>
        <v/>
      </c>
    </row>
  </sheetData>
  <conditionalFormatting sqref="B6:H11">
    <cfRule type="colorScale" priority="1">
      <colorScale>
        <cfvo type="min"/>
        <cfvo type="percentile" val="50"/>
        <cfvo type="max"/>
        <color rgb="00F8E3E1"/>
        <color rgb="00FFFFFF"/>
        <color rgb="00E0F2E7"/>
      </colorScale>
    </cfRule>
  </conditionalFormatting>
  <conditionalFormatting sqref="B17:H24">
    <cfRule type="colorScale" priority="2">
      <colorScale>
        <cfvo type="min"/>
        <cfvo type="percentile" val="50"/>
        <cfvo type="max"/>
        <color rgb="00F8E3E1"/>
        <color rgb="00FFFFFF"/>
        <color rgb="00E0F2E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80" customWidth="1" min="3" max="3"/>
  </cols>
  <sheetData>
    <row r="1">
      <c r="A1" s="1" t="inlineStr">
        <is>
          <t>Sources</t>
        </is>
      </c>
    </row>
    <row r="2">
      <c r="A2" s="2" t="inlineStr">
        <is>
          <t>Tags: F = company primary document / exchange data; A = attributed or assumption; E = our arithmetic.</t>
        </is>
      </c>
    </row>
    <row r="4">
      <c r="A4" s="3" t="inlineStr">
        <is>
          <t>Item</t>
        </is>
      </c>
      <c r="B4" s="3" t="inlineStr">
        <is>
          <t>Source</t>
        </is>
      </c>
      <c r="C4" s="3" t="inlineStr">
        <is>
          <t>URL</t>
        </is>
      </c>
      <c r="D4" s="3" t="inlineStr">
        <is>
          <t>Tag</t>
        </is>
      </c>
    </row>
    <row r="5">
      <c r="A5" t="inlineStr">
        <is>
          <t>History FY3/12-FY3/22</t>
        </is>
      </c>
      <c r="B5" t="inlineStr">
        <is>
          <t>Murata Fact Book 2022</t>
        </is>
      </c>
      <c r="C5" t="inlineStr">
        <is>
          <t>https://corporate.murata.com/-/media/corporate/about/newsroom/news/irnews/irnews/2022/0713/factbook2022.ashx</t>
        </is>
      </c>
      <c r="D5" t="inlineStr">
        <is>
          <t>F</t>
        </is>
      </c>
    </row>
    <row r="6">
      <c r="A6" t="inlineStr">
        <is>
          <t>History FY3/16-FY3/26</t>
        </is>
      </c>
      <c r="B6" t="inlineStr">
        <is>
          <t>Murata Fact Book 2026</t>
        </is>
      </c>
      <c r="C6" t="inlineStr">
        <is>
          <t>https://corporate.murata.com/-/media/corporate/about/newsroom/news/irnews/irnews/2026/0626/factbook2026.ashx</t>
        </is>
      </c>
      <c r="D6" t="inlineStr">
        <is>
          <t>F</t>
        </is>
      </c>
    </row>
    <row r="7">
      <c r="A7" t="inlineStr">
        <is>
          <t>FY3/27 guidance (31 Jul 2026)</t>
        </is>
      </c>
      <c r="B7" t="inlineStr">
        <is>
          <t>Murata 1Q FY2026 results</t>
        </is>
      </c>
      <c r="C7" t="inlineStr">
        <is>
          <t>https://corporate.murata.com/-/media/corporate/about/newsroom/news/irnews/irnews/2026/0731d/26q1-e-speach.ashx</t>
        </is>
      </c>
      <c r="D7" t="inlineStr">
        <is>
          <t>F</t>
        </is>
      </c>
    </row>
    <row r="8">
      <c r="A8" t="inlineStr">
        <is>
          <t>Monthly prices</t>
        </is>
      </c>
      <c r="B8" t="inlineStr">
        <is>
          <t>Yahoo Finance chart API</t>
        </is>
      </c>
      <c r="C8" t="inlineStr">
        <is>
          <t>https://query1.finance.yahoo.com/v8/finance/chart/6981.T</t>
        </is>
      </c>
      <c r="D8" t="inlineStr">
        <is>
          <t>F</t>
        </is>
      </c>
    </row>
    <row r="9">
      <c r="A9" t="inlineStr">
        <is>
          <t>Consensus TP ¥10,414, fwd P/E 37.8x</t>
        </is>
      </c>
      <c r="B9" t="inlineStr">
        <is>
          <t>stockanalysis.com, 2-Oct-2026</t>
        </is>
      </c>
      <c r="C9" t="inlineStr">
        <is>
          <t>https://stockanalysis.com/quote/tyo/6981/</t>
        </is>
      </c>
      <c r="D9" t="inlineStr">
        <is>
          <t>A</t>
        </is>
      </c>
    </row>
    <row r="10">
      <c r="A10" t="inlineStr">
        <is>
          <t>Valuation method ruling</t>
        </is>
      </c>
      <c r="B10" t="inlineStr">
        <is>
          <t>Roy, 2-Oct-2026: EV / mid-cycle EBITDA band (memory card D-M1 logic)</t>
        </is>
      </c>
      <c r="C10" t="inlineStr"/>
      <c r="D10" t="inlineStr">
        <is>
          <t>A</t>
        </is>
      </c>
    </row>
    <row r="11">
      <c r="A11" t="inlineStr">
        <is>
          <t>Scenario drivers</t>
        </is>
      </c>
      <c r="B11" t="inlineStr">
        <is>
          <t>targets/MLCC/research memos 01-03, 06</t>
        </is>
      </c>
      <c r="C11" t="inlineStr"/>
      <c r="D11" t="inlineStr">
        <is>
          <t>A/E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2026-10-02T16:16:38Z</dcterms:created>
  <dcterms:modified xmlns:dcterms="http://purl.org/dc/terms/" xmlns:xsi="http://www.w3.org/2001/XMLSchema-instance" xsi:type="dcterms:W3CDTF">2026-10-02T16:16:38Z</dcterms:modified>
</cp:coreProperties>
</file>